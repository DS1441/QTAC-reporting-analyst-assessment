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QTAC NEW\QTAC Reporting Submission\"/>
    </mc:Choice>
  </mc:AlternateContent>
  <xr:revisionPtr revIDLastSave="0" documentId="13_ncr:1_{69CAA60A-E72A-4FE2-846B-83C2F590C32A}" xr6:coauthVersionLast="47" xr6:coauthVersionMax="47" xr10:uidLastSave="{00000000-0000-0000-0000-000000000000}"/>
  <bookViews>
    <workbookView xWindow="28680" yWindow="-120" windowWidth="29040" windowHeight="15720" activeTab="4" xr2:uid="{2074AB01-2BCC-464A-BEC9-C6D7DA631AA8}"/>
  </bookViews>
  <sheets>
    <sheet name="Query A" sheetId="3" r:id="rId1"/>
    <sheet name="Query B" sheetId="2" r:id="rId2"/>
    <sheet name="Query C" sheetId="1" r:id="rId3"/>
    <sheet name="Dashboard" sheetId="7" r:id="rId4"/>
    <sheet name="Offer Trends" sheetId="9" r:id="rId5"/>
    <sheet name="Formulas" sheetId="10" r:id="rId6"/>
    <sheet name="Sheet5" sheetId="8" state="hidden" r:id="rId7"/>
  </sheets>
  <externalReferences>
    <externalReference r:id="rId8"/>
  </externalReferences>
  <definedNames>
    <definedName name="_xlcn.WorksheetConnection_BAG" hidden="1">'Query B'!$A:$G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!$A:$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9" l="1"/>
  <c r="J9" i="9"/>
  <c r="L8" i="9"/>
  <c r="L7" i="9"/>
  <c r="L6" i="9"/>
  <c r="L5" i="9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 a="1"/>
  <c r="H3" i="3"/>
  <c r="H4" i="3" a="1"/>
  <c r="H4" i="3" s="1"/>
  <c r="H5" i="3" a="1"/>
  <c r="H5" i="3" s="1"/>
  <c r="H6" i="3" a="1"/>
  <c r="H6" i="3"/>
  <c r="H7" i="3" a="1"/>
  <c r="H7" i="3"/>
  <c r="H8" i="3" a="1"/>
  <c r="H8" i="3" s="1"/>
  <c r="H9" i="3" a="1"/>
  <c r="H9" i="3" s="1"/>
  <c r="H10" i="3" a="1"/>
  <c r="H10" i="3"/>
  <c r="H11" i="3" a="1"/>
  <c r="H11" i="3" s="1"/>
  <c r="H12" i="3" a="1"/>
  <c r="H12" i="3" s="1"/>
  <c r="H13" i="3" a="1"/>
  <c r="H13" i="3" s="1"/>
  <c r="H14" i="3" a="1"/>
  <c r="H14" i="3"/>
  <c r="H15" i="3" a="1"/>
  <c r="H15" i="3"/>
  <c r="H16" i="3" a="1"/>
  <c r="H16" i="3" s="1"/>
  <c r="H17" i="3" a="1"/>
  <c r="H17" i="3" s="1"/>
  <c r="H18" i="3" a="1"/>
  <c r="H18" i="3"/>
  <c r="H19" i="3" a="1"/>
  <c r="H19" i="3" s="1"/>
  <c r="H20" i="3" a="1"/>
  <c r="H20" i="3" s="1"/>
  <c r="H21" i="3" a="1"/>
  <c r="H21" i="3" s="1"/>
  <c r="H2" i="3" a="1"/>
  <c r="H2" i="3" s="1"/>
  <c r="L9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DD0A0-7A1F-4BFC-BFCC-D79E9BF2422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96CC6A-FC91-4C85-A098-586A3F19D5B4}" name="WorksheetConnection_B!$A:$G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AG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<sst xmlns="http://schemas.openxmlformats.org/spreadsheetml/2006/main" count="625" uniqueCount="235">
  <si>
    <t>Applicant Name</t>
  </si>
  <si>
    <t>Ethan Williams</t>
  </si>
  <si>
    <t>State</t>
  </si>
  <si>
    <t>Preference Course</t>
  </si>
  <si>
    <t>Applicant Response</t>
  </si>
  <si>
    <t>QLD</t>
  </si>
  <si>
    <t>Bachelor of Data Science</t>
  </si>
  <si>
    <t>Offered</t>
  </si>
  <si>
    <t>Declined</t>
  </si>
  <si>
    <t>Bachelor of Information Technology</t>
  </si>
  <si>
    <t>Not Offered</t>
  </si>
  <si>
    <t>NULL</t>
  </si>
  <si>
    <t>Bachelor of Agriculture</t>
  </si>
  <si>
    <t>Henry Thomas</t>
  </si>
  <si>
    <t>Bachelor of Education (Primary)</t>
  </si>
  <si>
    <t>Bachelor of Nursing</t>
  </si>
  <si>
    <t>Jack Robinson</t>
  </si>
  <si>
    <t>Bachelor of Laws</t>
  </si>
  <si>
    <t>Noah Garcia</t>
  </si>
  <si>
    <t>Bachelor of Science</t>
  </si>
  <si>
    <t>Pending</t>
  </si>
  <si>
    <t>Olivia Smith</t>
  </si>
  <si>
    <t>Bachelor of Business</t>
  </si>
  <si>
    <t>institution_name</t>
  </si>
  <si>
    <t>Total Applications</t>
  </si>
  <si>
    <t>First Preference Apps</t>
  </si>
  <si>
    <t>Offers Made</t>
  </si>
  <si>
    <t>Offers Accepted</t>
  </si>
  <si>
    <t>Offer Rate %</t>
  </si>
  <si>
    <t>Acceptance Rate %</t>
  </si>
  <si>
    <t>The University of Queensland</t>
  </si>
  <si>
    <t>Griffith University</t>
  </si>
  <si>
    <t>Queensland University of Technology</t>
  </si>
  <si>
    <t>University of Southern Queensland</t>
  </si>
  <si>
    <t>James Cook University</t>
  </si>
  <si>
    <t>Southern Cross University</t>
  </si>
  <si>
    <t>CQUniversity</t>
  </si>
  <si>
    <t>First Preference</t>
  </si>
  <si>
    <t>Institution</t>
  </si>
  <si>
    <t>First Pref Offer</t>
  </si>
  <si>
    <t>Accepted Course</t>
  </si>
  <si>
    <t>ATAR</t>
  </si>
  <si>
    <t>Ava Thompson</t>
  </si>
  <si>
    <t>Charlotte Anderson</t>
  </si>
  <si>
    <t>Bachelor of Computer Science</t>
  </si>
  <si>
    <t>Chloe Patel</t>
  </si>
  <si>
    <t>VIC</t>
  </si>
  <si>
    <t>Bachelor of Psychological Science</t>
  </si>
  <si>
    <t>Emily Zhang</t>
  </si>
  <si>
    <t>Bachelor of Medicine</t>
  </si>
  <si>
    <t>Bachelor of Engineering (Honours)</t>
  </si>
  <si>
    <t>Isabella Chen</t>
  </si>
  <si>
    <t>James O'Connor</t>
  </si>
  <si>
    <t>Jessica Brown</t>
  </si>
  <si>
    <t>Liam Nguyen</t>
  </si>
  <si>
    <t>Lucas Taylor</t>
  </si>
  <si>
    <t>NSW</t>
  </si>
  <si>
    <t>Mia Wilson</t>
  </si>
  <si>
    <t>Mohammed Al-Rashid</t>
  </si>
  <si>
    <t>Oliver Davis</t>
  </si>
  <si>
    <t>Sarah Mitchell</t>
  </si>
  <si>
    <t>Sophie Martin</t>
  </si>
  <si>
    <t>William Lee</t>
  </si>
  <si>
    <t>Bachelor of Arts</t>
  </si>
  <si>
    <t>Pref rank</t>
  </si>
  <si>
    <t>ATAR Band</t>
  </si>
  <si>
    <t>STATE CHECK</t>
  </si>
  <si>
    <t>Count State Total</t>
  </si>
  <si>
    <t>Row Labels</t>
  </si>
  <si>
    <t>Grand Total</t>
  </si>
  <si>
    <t>Count of Applicant Name</t>
  </si>
  <si>
    <t>Average of ATAR</t>
  </si>
  <si>
    <t>Column Labels</t>
  </si>
  <si>
    <t>Result</t>
  </si>
  <si>
    <t>offer_round</t>
  </si>
  <si>
    <t>institution_code</t>
  </si>
  <si>
    <t>offers_made</t>
  </si>
  <si>
    <t>offers_accepted</t>
  </si>
  <si>
    <t>offers_declined</t>
  </si>
  <si>
    <t>offers_pending</t>
  </si>
  <si>
    <t>Round 1</t>
  </si>
  <si>
    <t>QUT</t>
  </si>
  <si>
    <t>UQ</t>
  </si>
  <si>
    <t>GU</t>
  </si>
  <si>
    <t>USQ</t>
  </si>
  <si>
    <t>JCU</t>
  </si>
  <si>
    <t>SCU</t>
  </si>
  <si>
    <t>CQU</t>
  </si>
  <si>
    <t>Round 2</t>
  </si>
  <si>
    <t>Round 3</t>
  </si>
  <si>
    <t>Round 4</t>
  </si>
  <si>
    <t>Sum of offers_made</t>
  </si>
  <si>
    <t>QTAC 2025 Admissions Cycle – Executive Summary</t>
  </si>
  <si>
    <t>Total Applicants</t>
  </si>
  <si>
    <t>Total Preferences</t>
  </si>
  <si>
    <t>Avg ATAR</t>
  </si>
  <si>
    <t>Applications by State</t>
  </si>
  <si>
    <t>Institutional Offer Summary</t>
  </si>
  <si>
    <t>Accepted</t>
  </si>
  <si>
    <t xml:space="preserve"> Offers Made</t>
  </si>
  <si>
    <t>ATAR by Insitution</t>
  </si>
  <si>
    <t>Round</t>
  </si>
  <si>
    <t>Offer Date</t>
  </si>
  <si>
    <t>Summary by Round</t>
  </si>
  <si>
    <t>2025-01-15</t>
  </si>
  <si>
    <t>Accept Rate</t>
  </si>
  <si>
    <t>Total</t>
  </si>
  <si>
    <t>2025-02-15</t>
  </si>
  <si>
    <t>2025-03-15</t>
  </si>
  <si>
    <t>2025-04-15</t>
  </si>
  <si>
    <t>Key Observations:</t>
  </si>
  <si>
    <t>• Offer volumes decline ~40% each round (expected pattern).</t>
  </si>
  <si>
    <t>• UQ and GU consistently lead on volume across all rounds.</t>
  </si>
  <si>
    <t>Offer Round Trends 2025 Admissions</t>
  </si>
  <si>
    <t>Excel Formula Showcase – QTAC Assessment</t>
  </si>
  <si>
    <t>Source: Applications</t>
  </si>
  <si>
    <t>Source: Courses</t>
  </si>
  <si>
    <t>applicant_id</t>
  </si>
  <si>
    <t>first_name</t>
  </si>
  <si>
    <t>last_name</t>
  </si>
  <si>
    <t>state</t>
  </si>
  <si>
    <t>atar_score</t>
  </si>
  <si>
    <t>course_code</t>
  </si>
  <si>
    <t>course_name</t>
  </si>
  <si>
    <t>atar_cutoff</t>
  </si>
  <si>
    <t>csp_available</t>
  </si>
  <si>
    <t>Sarah</t>
  </si>
  <si>
    <t>Mitchell</t>
  </si>
  <si>
    <t>QUT-BS001</t>
  </si>
  <si>
    <t>Y</t>
  </si>
  <si>
    <t>James</t>
  </si>
  <si>
    <t>O'Connor</t>
  </si>
  <si>
    <t>UQ-ENG01</t>
  </si>
  <si>
    <t>Bachelor of Engineering (Hons)</t>
  </si>
  <si>
    <t>Emily</t>
  </si>
  <si>
    <t>Zhang</t>
  </si>
  <si>
    <t>GU-NURS1</t>
  </si>
  <si>
    <t>Mohammed</t>
  </si>
  <si>
    <t>Al-Rashid</t>
  </si>
  <si>
    <t>USQ-IT001</t>
  </si>
  <si>
    <t>Bachelor of IT</t>
  </si>
  <si>
    <t>Jessica</t>
  </si>
  <si>
    <t>Brown</t>
  </si>
  <si>
    <t>QUT-BU001</t>
  </si>
  <si>
    <t>Liam</t>
  </si>
  <si>
    <t>Nguyen</t>
  </si>
  <si>
    <t>UQ-ARTS1</t>
  </si>
  <si>
    <t>Olivia</t>
  </si>
  <si>
    <t>Smith</t>
  </si>
  <si>
    <t>JCU-MED1</t>
  </si>
  <si>
    <t>Ethan</t>
  </si>
  <si>
    <t>Williams</t>
  </si>
  <si>
    <t>GU-EDU01</t>
  </si>
  <si>
    <t>Bachelor of Education</t>
  </si>
  <si>
    <t>Chloe</t>
  </si>
  <si>
    <t>Patel</t>
  </si>
  <si>
    <t>SCU-LAW1</t>
  </si>
  <si>
    <t>Noah</t>
  </si>
  <si>
    <t>Garcia</t>
  </si>
  <si>
    <t>QUT-DS001</t>
  </si>
  <si>
    <t>Ava</t>
  </si>
  <si>
    <t>Thompson</t>
  </si>
  <si>
    <t>UQ-COMP1</t>
  </si>
  <si>
    <t>William</t>
  </si>
  <si>
    <t>Lee</t>
  </si>
  <si>
    <t>GU-PSYC1</t>
  </si>
  <si>
    <t>Sophie</t>
  </si>
  <si>
    <t>Martin</t>
  </si>
  <si>
    <t>CQU-ENG1</t>
  </si>
  <si>
    <t>Bachelor of Engineering</t>
  </si>
  <si>
    <t>Jack</t>
  </si>
  <si>
    <t>Robinson</t>
  </si>
  <si>
    <t>Isabella</t>
  </si>
  <si>
    <t>Chen</t>
  </si>
  <si>
    <t>Oliver</t>
  </si>
  <si>
    <t>Davis</t>
  </si>
  <si>
    <t>Mia</t>
  </si>
  <si>
    <t>Wilson</t>
  </si>
  <si>
    <t>Lucas</t>
  </si>
  <si>
    <t>Taylor</t>
  </si>
  <si>
    <t>Charlotte</t>
  </si>
  <si>
    <t>Anderson</t>
  </si>
  <si>
    <t>Henry</t>
  </si>
  <si>
    <t>Thomas</t>
  </si>
  <si>
    <t>Formula Demonstrations</t>
  </si>
  <si>
    <t>Formula Name</t>
  </si>
  <si>
    <t>Formula Written</t>
  </si>
  <si>
    <t>What it does</t>
  </si>
  <si>
    <t>XLOOKUP</t>
  </si>
  <si>
    <t>Returns ATAR score for applicant 1001 (Sarah Mitchell) from the applications table</t>
  </si>
  <si>
    <t>INDEX / MATCH</t>
  </si>
  <si>
    <t>Looks up course name for UQ-ENG01 from the courses table using INDEX/MATCH</t>
  </si>
  <si>
    <t>COUNTIFS</t>
  </si>
  <si>
    <t>Count of QLD applicants</t>
  </si>
  <si>
    <t>COUNTIFS (no ATAR)</t>
  </si>
  <si>
    <t>Count of applicants with missing ATAR score</t>
  </si>
  <si>
    <t>SUMIFS</t>
  </si>
  <si>
    <t>Sum of ATARs for QLD applicants only</t>
  </si>
  <si>
    <t>AVERAGEIFS</t>
  </si>
  <si>
    <t>Average ATAR for QLD applicants (excludes blanks)</t>
  </si>
  <si>
    <t>IF – ATAR Band</t>
  </si>
  <si>
    <t>Classifies Sarah Mitchell's ATAR into High / Mid / Low band</t>
  </si>
  <si>
    <t>IFS – Offer Status</t>
  </si>
  <si>
    <t>Multi-condition label based on ATAR vs typical cutoffs</t>
  </si>
  <si>
    <t>IF – Missing Data Flag</t>
  </si>
  <si>
    <t>TEXT – Format Date</t>
  </si>
  <si>
    <t>Converts offer date to readable format: 15 Mar 2025</t>
  </si>
  <si>
    <t>IFERROR</t>
  </si>
  <si>
    <t>COUNTA</t>
  </si>
  <si>
    <t>MAX / MIN</t>
  </si>
  <si>
    <t>Shows highest and lowest ATAR in the applicant pool</t>
  </si>
  <si>
    <t>Purple text = Excel formula as written</t>
  </si>
  <si>
    <t>Result column contains live calculated values</t>
  </si>
  <si>
    <t>INDEX(H5:H17,MATCH("UQ-ENG01",G5:G17,0))</t>
  </si>
  <si>
    <t xml:space="preserve">XLOOKUP(1001, A5:A24, E5:E24, "Not found")   </t>
  </si>
  <si>
    <t>COUNTIFS(D5:D24,"QLD")</t>
  </si>
  <si>
    <t>COUNTIFS(E5:E24,"")</t>
  </si>
  <si>
    <t>SUMIFS(E5:E24,D5:D24,"QLD")</t>
  </si>
  <si>
    <t>AVERAGEIF(D5:D24,"QLD",E5:E24)</t>
  </si>
  <si>
    <t>IF(E5&gt;=90,"High",IF(E5&gt;=75,"Mid","Low"))</t>
  </si>
  <si>
    <t>IF(E5&gt;=99,"Unlikely",IF(E5&gt;=84,"Competitive",IF(E5&gt;=70,"Eligible","Below cutoff")))</t>
  </si>
  <si>
    <t>IF(E5="","Missing ATAR","ATAR Available")</t>
  </si>
  <si>
    <t>TEXT(DATE(2025,3,15),"DD MMM YYYY")</t>
  </si>
  <si>
    <t>IFERROR(1/0,"N/A")</t>
  </si>
  <si>
    <t>COUNTA(A5:A24)</t>
  </si>
  <si>
    <t>TEXT(MAX(E5:E24),"0.0")&amp;" / "&amp;TEXT(MIN(E5:E24),"0.0")</t>
  </si>
  <si>
    <t>High</t>
  </si>
  <si>
    <t>Competitive</t>
  </si>
  <si>
    <t>ATAR Available</t>
  </si>
  <si>
    <t>15 Mar 2025</t>
  </si>
  <si>
    <t>N/A</t>
  </si>
  <si>
    <t>99.2 / 63.0</t>
  </si>
  <si>
    <t>Flags whether an ATAR score is present (uses a cell with data , returns ATAR Available)</t>
  </si>
  <si>
    <t>Catches divide-by-zero errors gracefully  used in offer rate calculations</t>
  </si>
  <si>
    <t>Counts all non-blank applicant IDs useful for total applicant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</si>
</sst>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18"/>
      <name val="Arial"/>
      <family val="2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color rgb="FF7030A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theme="4" tint="0.59999389629810485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theme="0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0" fontId="5" fillId="5" borderId="0" xfId="0" applyFont="1" applyFill="1"/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center"/>
    </xf>
    <xf numFmtId="164" fontId="9" fillId="8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0" fontId="9" fillId="0" borderId="0" xfId="0" applyFont="1"/>
    <xf numFmtId="0" fontId="11" fillId="0" borderId="0" xfId="0" applyFont="1"/>
    <xf numFmtId="0" fontId="13" fillId="0" borderId="0" xfId="0" applyFont="1"/>
    <xf numFmtId="0" fontId="4" fillId="0" borderId="0" xfId="0" applyFont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8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OUTPUTS and Dashboards.xlsx]Dashboard!PivotTable5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Applications, Offers &amp; Acceptances by Institution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435908998898198E-2"/>
          <c:y val="0.12191533012600815"/>
          <c:w val="0.77132995081781563"/>
          <c:h val="0.65076144049278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Total 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Dashboard!$A$15:$A$22</c:f>
              <c:strCache>
                <c:ptCount val="7"/>
                <c:pt idx="0">
                  <c:v>CQUniversity</c:v>
                </c:pt>
                <c:pt idx="1">
                  <c:v>Griffith University</c:v>
                </c:pt>
                <c:pt idx="2">
                  <c:v>James Cook University</c:v>
                </c:pt>
                <c:pt idx="3">
                  <c:v>Queensland University of Technology</c:v>
                </c:pt>
                <c:pt idx="4">
                  <c:v>Southern Cross University</c:v>
                </c:pt>
                <c:pt idx="5">
                  <c:v>The University of Queensland</c:v>
                </c:pt>
                <c:pt idx="6">
                  <c:v>University of Southern Queensland</c:v>
                </c:pt>
              </c:strCache>
            </c:strRef>
          </c:cat>
          <c:val>
            <c:numRef>
              <c:f>Dashboard!$B$15:$B$22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10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A-44DA-A69A-FFA28006B6C7}"/>
            </c:ext>
          </c:extLst>
        </c:ser>
        <c:ser>
          <c:idx val="1"/>
          <c:order val="1"/>
          <c:tx>
            <c:strRef>
              <c:f>Dashboard!$C$14</c:f>
              <c:strCache>
                <c:ptCount val="1"/>
                <c:pt idx="0">
                  <c:v> Offers Made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Dashboard!$A$15:$A$22</c:f>
              <c:strCache>
                <c:ptCount val="7"/>
                <c:pt idx="0">
                  <c:v>CQUniversity</c:v>
                </c:pt>
                <c:pt idx="1">
                  <c:v>Griffith University</c:v>
                </c:pt>
                <c:pt idx="2">
                  <c:v>James Cook University</c:v>
                </c:pt>
                <c:pt idx="3">
                  <c:v>Queensland University of Technology</c:v>
                </c:pt>
                <c:pt idx="4">
                  <c:v>Southern Cross University</c:v>
                </c:pt>
                <c:pt idx="5">
                  <c:v>The University of Queensland</c:v>
                </c:pt>
                <c:pt idx="6">
                  <c:v>University of Southern Queensland</c:v>
                </c:pt>
              </c:strCache>
            </c:strRef>
          </c:cat>
          <c:val>
            <c:numRef>
              <c:f>Dashboard!$C$15:$C$22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A-44DA-A69A-FFA28006B6C7}"/>
            </c:ext>
          </c:extLst>
        </c:ser>
        <c:ser>
          <c:idx val="2"/>
          <c:order val="2"/>
          <c:tx>
            <c:strRef>
              <c:f>Dashboard!$D$14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Dashboard!$A$15:$A$22</c:f>
              <c:strCache>
                <c:ptCount val="7"/>
                <c:pt idx="0">
                  <c:v>CQUniversity</c:v>
                </c:pt>
                <c:pt idx="1">
                  <c:v>Griffith University</c:v>
                </c:pt>
                <c:pt idx="2">
                  <c:v>James Cook University</c:v>
                </c:pt>
                <c:pt idx="3">
                  <c:v>Queensland University of Technology</c:v>
                </c:pt>
                <c:pt idx="4">
                  <c:v>Southern Cross University</c:v>
                </c:pt>
                <c:pt idx="5">
                  <c:v>The University of Queensland</c:v>
                </c:pt>
                <c:pt idx="6">
                  <c:v>University of Southern Queensland</c:v>
                </c:pt>
              </c:strCache>
            </c:strRef>
          </c:cat>
          <c:val>
            <c:numRef>
              <c:f>Dashboard!$D$15:$D$22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D-4E15-8335-D2E882F4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723471"/>
        <c:axId val="1261703791"/>
      </c:barChart>
      <c:catAx>
        <c:axId val="126172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Institution</a:t>
                </a:r>
              </a:p>
            </c:rich>
          </c:tx>
          <c:layout>
            <c:manualLayout>
              <c:xMode val="edge"/>
              <c:yMode val="edge"/>
              <c:x val="0.42480602528997852"/>
              <c:y val="0.921100073109750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03791"/>
        <c:crosses val="autoZero"/>
        <c:auto val="1"/>
        <c:lblAlgn val="ctr"/>
        <c:lblOffset val="100"/>
        <c:noMultiLvlLbl val="0"/>
      </c:catAx>
      <c:valAx>
        <c:axId val="12617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2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Offer Volume by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'[1]Offer Trends'!$J$4</c:f>
              <c:strCache>
                <c:ptCount val="1"/>
                <c:pt idx="0">
                  <c:v>Offers Made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'[1]Offer Trends'!$I$5:$I$8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'[1]Offer Trends'!$J$5:$J$8</c:f>
              <c:numCache>
                <c:formatCode>General</c:formatCode>
                <c:ptCount val="4"/>
                <c:pt idx="0">
                  <c:v>783</c:v>
                </c:pt>
                <c:pt idx="1">
                  <c:v>463</c:v>
                </c:pt>
                <c:pt idx="2">
                  <c:v>279</c:v>
                </c:pt>
                <c:pt idx="3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48-45EA-A1A7-E7FA96B7C0F4}"/>
            </c:ext>
          </c:extLst>
        </c:ser>
        <c:ser>
          <c:idx val="1"/>
          <c:order val="1"/>
          <c:tx>
            <c:strRef>
              <c:f>'[1]Offer Trends'!$K$4</c:f>
              <c:strCache>
                <c:ptCount val="1"/>
                <c:pt idx="0">
                  <c:v>Accepted</c:v>
                </c:pt>
              </c:strCache>
            </c:strRef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'[1]Offer Trends'!$I$5:$I$8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'[1]Offer Trends'!$K$5:$K$8</c:f>
              <c:numCache>
                <c:formatCode>General</c:formatCode>
                <c:ptCount val="4"/>
                <c:pt idx="0">
                  <c:v>570</c:v>
                </c:pt>
                <c:pt idx="1">
                  <c:v>343</c:v>
                </c:pt>
                <c:pt idx="2">
                  <c:v>198</c:v>
                </c:pt>
                <c:pt idx="3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48-45EA-A1A7-E7FA96B7C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301309"/>
        <c:axId val="39643845"/>
      </c:lineChart>
      <c:catAx>
        <c:axId val="373013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43845"/>
        <c:crosses val="autoZero"/>
        <c:auto val="1"/>
        <c:lblAlgn val="ctr"/>
        <c:lblOffset val="100"/>
        <c:noMultiLvlLbl val="0"/>
      </c:catAx>
      <c:valAx>
        <c:axId val="39643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01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OUTPUTS and Dashboards.xlsx]Sheet5!PivotTable36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Sheet5!$L$5:$L$6</c:f>
              <c:strCache>
                <c:ptCount val="1"/>
                <c:pt idx="0">
                  <c:v>CQUniversity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Sheet5!$L$7:$L$11</c:f>
              <c:numCache>
                <c:formatCode>General</c:formatCode>
                <c:ptCount val="4"/>
                <c:pt idx="0">
                  <c:v>41</c:v>
                </c:pt>
                <c:pt idx="1">
                  <c:v>24</c:v>
                </c:pt>
                <c:pt idx="2">
                  <c:v>14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3-4089-BCC5-7A2142645199}"/>
            </c:ext>
          </c:extLst>
        </c:ser>
        <c:ser>
          <c:idx val="1"/>
          <c:order val="1"/>
          <c:tx>
            <c:strRef>
              <c:f>Sheet5!$M$5:$M$6</c:f>
              <c:strCache>
                <c:ptCount val="1"/>
                <c:pt idx="0">
                  <c:v>Griffith University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Sheet5!$M$7:$M$11</c:f>
              <c:numCache>
                <c:formatCode>General</c:formatCode>
                <c:ptCount val="4"/>
                <c:pt idx="0">
                  <c:v>178</c:v>
                </c:pt>
                <c:pt idx="1">
                  <c:v>103</c:v>
                </c:pt>
                <c:pt idx="2">
                  <c:v>61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3-4089-BCC5-7A2142645199}"/>
            </c:ext>
          </c:extLst>
        </c:ser>
        <c:ser>
          <c:idx val="2"/>
          <c:order val="2"/>
          <c:tx>
            <c:strRef>
              <c:f>Sheet5!$N$5:$N$6</c:f>
              <c:strCache>
                <c:ptCount val="1"/>
                <c:pt idx="0">
                  <c:v>James Cook University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Sheet5!$N$7:$N$11</c:f>
              <c:numCache>
                <c:formatCode>General</c:formatCode>
                <c:ptCount val="4"/>
                <c:pt idx="0">
                  <c:v>64</c:v>
                </c:pt>
                <c:pt idx="1">
                  <c:v>38</c:v>
                </c:pt>
                <c:pt idx="2">
                  <c:v>22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3-4089-BCC5-7A2142645199}"/>
            </c:ext>
          </c:extLst>
        </c:ser>
        <c:ser>
          <c:idx val="3"/>
          <c:order val="3"/>
          <c:tx>
            <c:strRef>
              <c:f>Sheet5!$O$5:$O$6</c:f>
              <c:strCache>
                <c:ptCount val="1"/>
                <c:pt idx="0">
                  <c:v>Queensland University of Technology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Sheet5!$O$7:$O$11</c:f>
              <c:numCache>
                <c:formatCode>General</c:formatCode>
                <c:ptCount val="4"/>
                <c:pt idx="0">
                  <c:v>145</c:v>
                </c:pt>
                <c:pt idx="1">
                  <c:v>87</c:v>
                </c:pt>
                <c:pt idx="2">
                  <c:v>52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3-4089-BCC5-7A2142645199}"/>
            </c:ext>
          </c:extLst>
        </c:ser>
        <c:ser>
          <c:idx val="4"/>
          <c:order val="4"/>
          <c:tx>
            <c:strRef>
              <c:f>Sheet5!$P$5:$P$6</c:f>
              <c:strCache>
                <c:ptCount val="1"/>
                <c:pt idx="0">
                  <c:v>Southern Cross University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Sheet5!$P$7:$P$11</c:f>
              <c:numCache>
                <c:formatCode>General</c:formatCode>
                <c:ptCount val="4"/>
                <c:pt idx="0">
                  <c:v>53</c:v>
                </c:pt>
                <c:pt idx="1">
                  <c:v>31</c:v>
                </c:pt>
                <c:pt idx="2">
                  <c:v>18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03-4089-BCC5-7A2142645199}"/>
            </c:ext>
          </c:extLst>
        </c:ser>
        <c:ser>
          <c:idx val="5"/>
          <c:order val="5"/>
          <c:tx>
            <c:strRef>
              <c:f>Sheet5!$Q$5:$Q$6</c:f>
              <c:strCache>
                <c:ptCount val="1"/>
                <c:pt idx="0">
                  <c:v>The University of Queensland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Sheet5!$Q$7:$Q$11</c:f>
              <c:numCache>
                <c:formatCode>General</c:formatCode>
                <c:ptCount val="4"/>
                <c:pt idx="0">
                  <c:v>210</c:v>
                </c:pt>
                <c:pt idx="1">
                  <c:v>124</c:v>
                </c:pt>
                <c:pt idx="2">
                  <c:v>78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03-4089-BCC5-7A2142645199}"/>
            </c:ext>
          </c:extLst>
        </c:ser>
        <c:ser>
          <c:idx val="6"/>
          <c:order val="6"/>
          <c:tx>
            <c:strRef>
              <c:f>Sheet5!$R$5:$R$6</c:f>
              <c:strCache>
                <c:ptCount val="1"/>
                <c:pt idx="0">
                  <c:v>University of Southern Queensland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Sheet5!$K$7:$K$11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Sheet5!$R$7:$R$11</c:f>
              <c:numCache>
                <c:formatCode>General</c:formatCode>
                <c:ptCount val="4"/>
                <c:pt idx="0">
                  <c:v>92</c:v>
                </c:pt>
                <c:pt idx="1">
                  <c:v>56</c:v>
                </c:pt>
                <c:pt idx="2">
                  <c:v>34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3-4089-BCC5-7A2142645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5647375"/>
        <c:axId val="235650255"/>
      </c:barChart>
      <c:catAx>
        <c:axId val="23564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50255"/>
        <c:crosses val="autoZero"/>
        <c:auto val="1"/>
        <c:lblAlgn val="ctr"/>
        <c:lblOffset val="100"/>
        <c:noMultiLvlLbl val="0"/>
      </c:catAx>
      <c:valAx>
        <c:axId val="23565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4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666748</xdr:colOff>
      <xdr:row>8</xdr:row>
      <xdr:rowOff>136206</xdr:rowOff>
    </xdr:from>
    <xdr:to>
      <xdr:col>16</xdr:col>
      <xdr:colOff>504825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F318F-3D87-FB32-8DAC-F6B1F3455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586740</xdr:colOff>
      <xdr:row>10</xdr:row>
      <xdr:rowOff>19050</xdr:rowOff>
    </xdr:from>
    <xdr:to>
      <xdr:col>11</xdr:col>
      <xdr:colOff>2861309</xdr:colOff>
      <xdr:row>29</xdr:row>
      <xdr:rowOff>17145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24091-8011-4DC2-BEAF-6C7FC612C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11</xdr:row>
      <xdr:rowOff>160972</xdr:rowOff>
    </xdr:from>
    <xdr:to>
      <xdr:col>12</xdr:col>
      <xdr:colOff>847725</xdr:colOff>
      <xdr:row>36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46F54B-2B0E-153E-0A67-8CB295720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QTAC_Assessment_Excel.xlsx" TargetMode="External"/><Relationship Id="rId1" Type="http://schemas.openxmlformats.org/officeDocument/2006/relationships/externalLinkPath" Target="/Users/hp/Downloads/QTAC_Assessment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ffer Trends"/>
      <sheetName val="Formula Showcase"/>
    </sheetNames>
    <sheetDataSet>
      <sheetData sheetId="0"/>
      <sheetData sheetId="1">
        <row r="4">
          <cell r="J4" t="str">
            <v>Offers Made</v>
          </cell>
          <cell r="K4" t="str">
            <v>Accepted</v>
          </cell>
        </row>
        <row r="5">
          <cell r="I5" t="str">
            <v>Round 1</v>
          </cell>
          <cell r="J5">
            <v>783</v>
          </cell>
          <cell r="K5">
            <v>570</v>
          </cell>
        </row>
        <row r="6">
          <cell r="I6" t="str">
            <v>Round 2</v>
          </cell>
          <cell r="J6">
            <v>463</v>
          </cell>
          <cell r="K6">
            <v>343</v>
          </cell>
        </row>
        <row r="7">
          <cell r="I7" t="str">
            <v>Round 3</v>
          </cell>
          <cell r="J7">
            <v>279</v>
          </cell>
          <cell r="K7">
            <v>198</v>
          </cell>
        </row>
        <row r="8">
          <cell r="I8" t="str">
            <v>Round 4</v>
          </cell>
          <cell r="J8">
            <v>149</v>
          </cell>
          <cell r="K8">
            <v>100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525382754633" createdVersion="8" refreshedVersion="8" minRefreshableVersion="3" recordCount="21" xr:uid="{BE1FBD47-2620-4B90-8DD6-21880602D2D9}">
  <cacheSource type="worksheet">
    <worksheetSource ref="A1:J1048576" sheet="Query A"/>
  </cacheSource>
  <cacheFields count="10">
    <cacheField name="Applicant Name" numFmtId="0">
      <sharedItems containsBlank="1"/>
    </cacheField>
    <cacheField name="State" numFmtId="0">
      <sharedItems containsBlank="1" count="4">
        <s v="QLD"/>
        <s v="VIC"/>
        <s v="NSW"/>
        <m/>
      </sharedItems>
    </cacheField>
    <cacheField name="First Preference" numFmtId="0">
      <sharedItems containsBlank="1"/>
    </cacheField>
    <cacheField name="Institution" numFmtId="0">
      <sharedItems containsBlank="1" count="7">
        <s v="Griffith University"/>
        <s v="The University of Queensland"/>
        <s v="James Cook University"/>
        <s v="Queensland University of Technology"/>
        <s v="Southern Cross University"/>
        <s v="University of Southern Queensland"/>
        <m/>
      </sharedItems>
    </cacheField>
    <cacheField name="First Pref Offer" numFmtId="0">
      <sharedItems containsBlank="1"/>
    </cacheField>
    <cacheField name="Accepted Course" numFmtId="0">
      <sharedItems containsBlank="1"/>
    </cacheField>
    <cacheField name="ATAR" numFmtId="0">
      <sharedItems containsBlank="1" containsMixedTypes="1" containsNumber="1" minValue="63" maxValue="99.2"/>
    </cacheField>
    <cacheField name="ATAR Band" numFmtId="0">
      <sharedItems containsBlank="1"/>
    </cacheField>
    <cacheField name="STATE CHECK" numFmtId="0">
      <sharedItems containsBlank="1"/>
    </cacheField>
    <cacheField name="Count State Total" numFmtId="0">
      <sharedItems containsString="0" containsBlank="1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54318090278" createdVersion="8" refreshedVersion="8" minRefreshableVersion="3" recordCount="20" xr:uid="{DCDAEBBF-6273-4412-BFC5-AFE61F50D126}">
  <cacheSource type="worksheet">
    <worksheetSource ref="A1:J21" sheet="Query A"/>
  </cacheSource>
  <cacheFields count="10">
    <cacheField name="Applicant Name" numFmtId="0">
      <sharedItems/>
    </cacheField>
    <cacheField name="State" numFmtId="0">
      <sharedItems/>
    </cacheField>
    <cacheField name="First Preference" numFmtId="0">
      <sharedItems/>
    </cacheField>
    <cacheField name="Institution" numFmtId="0">
      <sharedItems count="6">
        <s v="Griffith University"/>
        <s v="The University of Queensland"/>
        <s v="James Cook University"/>
        <s v="Queensland University of Technology"/>
        <s v="Southern Cross University"/>
        <s v="University of Southern Queensland"/>
      </sharedItems>
    </cacheField>
    <cacheField name="First Pref Offer" numFmtId="0">
      <sharedItems/>
    </cacheField>
    <cacheField name="Accepted Course" numFmtId="0">
      <sharedItems/>
    </cacheField>
    <cacheField name="ATAR" numFmtId="0">
      <sharedItems containsMixedTypes="1" containsNumber="1" minValue="63" maxValue="99.2"/>
    </cacheField>
    <cacheField name="ATAR Band" numFmtId="0">
      <sharedItems/>
    </cacheField>
    <cacheField name="STATE CHECK" numFmtId="0">
      <sharedItems/>
    </cacheField>
    <cacheField name="Count State Total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676746412035" createdVersion="8" refreshedVersion="8" minRefreshableVersion="3" recordCount="28" xr:uid="{3CB9BCDA-C1FF-4DAE-BA32-D47C97FB0F12}">
  <cacheSource type="worksheet">
    <worksheetSource ref="A1:G29" sheet="Sheet5"/>
  </cacheSource>
  <cacheFields count="7">
    <cacheField name="offer_round" numFmtId="0">
      <sharedItems count="4">
        <s v="Round 1"/>
        <s v="Round 2"/>
        <s v="Round 3"/>
        <s v="Round 4"/>
      </sharedItems>
    </cacheField>
    <cacheField name="institution_code" numFmtId="0">
      <sharedItems count="7">
        <s v="QUT"/>
        <s v="UQ"/>
        <s v="GU"/>
        <s v="USQ"/>
        <s v="JCU"/>
        <s v="SCU"/>
        <s v="CQU"/>
      </sharedItems>
    </cacheField>
    <cacheField name="institution_name" numFmtId="0">
      <sharedItems count="7">
        <s v="Queensland University of Technology"/>
        <s v="The University of Queensland"/>
        <s v="Griffith University"/>
        <s v="University of Southern Queensland"/>
        <s v="James Cook University"/>
        <s v="Southern Cross University"/>
        <s v="CQUniversity"/>
      </sharedItems>
    </cacheField>
    <cacheField name="offers_made" numFmtId="0">
      <sharedItems containsSemiMixedTypes="0" containsString="0" containsNumber="1" containsInteger="1" minValue="7" maxValue="210"/>
    </cacheField>
    <cacheField name="offers_accepted" numFmtId="0">
      <sharedItems containsSemiMixedTypes="0" containsString="0" containsNumber="1" containsInteger="1" minValue="4" maxValue="156"/>
    </cacheField>
    <cacheField name="offers_declined" numFmtId="0">
      <sharedItems containsSemiMixedTypes="0" containsString="0" containsNumber="1" containsInteger="1" minValue="2" maxValue="31"/>
    </cacheField>
    <cacheField name="offers_pending" numFmtId="0">
      <sharedItems containsSemiMixedTypes="0" containsString="0" containsNumber="1" containsInteg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77.802998611114" backgroundQuery="1" createdVersion="8" refreshedVersion="8" minRefreshableVersion="3" recordCount="0" supportSubquery="1" supportAdvancedDrill="1" xr:uid="{CB518625-7164-4C95-9880-324664F3402E}">
  <cacheSource type="external" connectionId="1"/>
  <cacheFields count="4">
    <cacheField name="[Measures].[Sum of Offers Made]" caption="Sum of Offers Made" numFmtId="0" hierarchy="9" level="32767"/>
    <cacheField name="[Measures].[Sum of Total Applications]" caption="Sum of Total Applications" numFmtId="0" hierarchy="10" level="32767"/>
    <cacheField name="[Range].[institution_name].[institution_name]" caption="institution_name" numFmtId="0" level="1">
      <sharedItems count="7">
        <s v="CQUniversity"/>
        <s v="Griffith University"/>
        <s v="James Cook University"/>
        <s v="Queensland University of Technology"/>
        <s v="Southern Cross University"/>
        <s v="The University of Queensland"/>
        <s v="University of Southern Queensland"/>
      </sharedItems>
    </cacheField>
    <cacheField name="[Measures].[Sum of Offers Accepted]" caption="Sum of Offers Accepted" numFmtId="0" hierarchy="12" level="32767"/>
  </cacheFields>
  <cacheHierarchies count="13">
    <cacheHierarchy uniqueName="[Range].[institution_name]" caption="institution_name" attribute="1" defaultMemberUniqueName="[Range].[institution_name].[All]" allUniqueName="[Range].[institution_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otal Applications]" caption="Total Applications" attribute="1" defaultMemberUniqueName="[Range].[Total Applications].[All]" allUniqueName="[Range].[Total Applications].[All]" dimensionUniqueName="[Range]" displayFolder="" count="0" memberValueDatatype="20" unbalanced="0"/>
    <cacheHierarchy uniqueName="[Range].[First Preference Apps]" caption="First Preference Apps" attribute="1" defaultMemberUniqueName="[Range].[First Preference Apps].[All]" allUniqueName="[Range].[First Preference Apps].[All]" dimensionUniqueName="[Range]" displayFolder="" count="0" memberValueDatatype="20" unbalanced="0"/>
    <cacheHierarchy uniqueName="[Range].[Offers Made]" caption="Offers Made" attribute="1" defaultMemberUniqueName="[Range].[Offers Made].[All]" allUniqueName="[Range].[Offers Made].[All]" dimensionUniqueName="[Range]" displayFolder="" count="0" memberValueDatatype="20" unbalanced="0"/>
    <cacheHierarchy uniqueName="[Range].[Offers Accepted]" caption="Offers Accepted" attribute="1" defaultMemberUniqueName="[Range].[Offers Accepted].[All]" allUniqueName="[Range].[Offers Accepted].[All]" dimensionUniqueName="[Range]" displayFolder="" count="0" memberValueDatatype="20" unbalanced="0"/>
    <cacheHierarchy uniqueName="[Range].[Offer Rate %]" caption="Offer Rate %" attribute="1" defaultMemberUniqueName="[Range].[Offer Rate %].[All]" allUniqueName="[Range].[Offer Rate %].[All]" dimensionUniqueName="[Range]" displayFolder="" count="0" memberValueDatatype="130" unbalanced="0"/>
    <cacheHierarchy uniqueName="[Range].[Acceptance Rate %]" caption="Acceptance Rate %" attribute="1" defaultMemberUniqueName="[Range].[Acceptance Rate %].[All]" allUniqueName="[Range].[Acceptance Rate %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ffers Made]" caption="Sum of Offers Mad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Applications]" caption="Sum of Total Application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rst Preference Apps]" caption="Sum of First Preference Apps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Offers Accepted]" caption="Sum of Offers Accepte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Ava Thompson"/>
    <x v="0"/>
    <s v="Bachelor of Education (Primary)"/>
    <x v="0"/>
    <s v="Offered"/>
    <s v="Bachelor of Education (Primary)"/>
    <n v="74.5"/>
    <s v="Medium"/>
    <s v="Local"/>
    <n v="17"/>
  </r>
  <r>
    <s v="Charlotte Anderson"/>
    <x v="0"/>
    <s v="Bachelor of Computer Science"/>
    <x v="1"/>
    <s v="Offered"/>
    <s v="Bachelor of Computer Science"/>
    <n v="90.1"/>
    <s v="High"/>
    <s v="Local"/>
    <n v="17"/>
  </r>
  <r>
    <s v="Chloe Patel"/>
    <x v="1"/>
    <s v="Bachelor of Psychological Science"/>
    <x v="0"/>
    <s v="Offered"/>
    <s v="Bachelor of Psychological Science"/>
    <n v="88.4"/>
    <s v="Medium"/>
    <s v="Interstate"/>
    <n v="1"/>
  </r>
  <r>
    <s v="Emily Zhang"/>
    <x v="0"/>
    <s v="Bachelor of Medicine"/>
    <x v="2"/>
    <s v="Not Offered"/>
    <s v="Bachelor of Engineering (Honours)"/>
    <n v="99.2"/>
    <s v="High"/>
    <s v="Local"/>
    <n v="17"/>
  </r>
  <r>
    <s v="Ethan Williams"/>
    <x v="0"/>
    <s v="Bachelor of Data Science"/>
    <x v="3"/>
    <s v="Offered"/>
    <s v="NULL"/>
    <n v="80.099999999999994"/>
    <s v="Medium"/>
    <s v="Local"/>
    <n v="17"/>
  </r>
  <r>
    <s v="Henry Thomas"/>
    <x v="0"/>
    <s v="Bachelor of Education (Primary)"/>
    <x v="0"/>
    <s v="Not Offered"/>
    <s v="NULL"/>
    <n v="69.8"/>
    <s v="Low"/>
    <s v="Local"/>
    <n v="17"/>
  </r>
  <r>
    <s v="Isabella Chen"/>
    <x v="0"/>
    <s v="Bachelor of Medicine"/>
    <x v="2"/>
    <s v="Offered"/>
    <s v="Bachelor of Medicine"/>
    <n v="98.7"/>
    <s v="High"/>
    <s v="Local"/>
    <n v="17"/>
  </r>
  <r>
    <s v="Jack Robinson"/>
    <x v="0"/>
    <s v="Bachelor of Laws"/>
    <x v="4"/>
    <s v="Not Offered"/>
    <s v="NULL"/>
    <s v="NULL"/>
    <s v="High"/>
    <s v="Local"/>
    <n v="17"/>
  </r>
  <r>
    <s v="James O'Connor"/>
    <x v="0"/>
    <s v="Bachelor of Engineering (Honours)"/>
    <x v="1"/>
    <s v="Offered"/>
    <s v="Bachelor of Science"/>
    <n v="85.3"/>
    <s v="Medium"/>
    <s v="Local"/>
    <n v="17"/>
  </r>
  <r>
    <s v="Jessica Brown"/>
    <x v="0"/>
    <s v="Bachelor of Nursing"/>
    <x v="0"/>
    <s v="Offered"/>
    <s v="Bachelor of Nursing"/>
    <n v="78.5"/>
    <s v="Medium"/>
    <s v="Local"/>
    <n v="17"/>
  </r>
  <r>
    <s v="Liam Nguyen"/>
    <x v="0"/>
    <s v="Bachelor of Information Technology"/>
    <x v="5"/>
    <s v="Offered"/>
    <s v="Bachelor of Information Technology"/>
    <n v="63"/>
    <s v="Low"/>
    <s v="Local"/>
    <n v="17"/>
  </r>
  <r>
    <s v="Lucas Taylor"/>
    <x v="2"/>
    <s v="Bachelor of Engineering (Honours)"/>
    <x v="1"/>
    <s v="Offered"/>
    <s v="Bachelor of Engineering (Honours)"/>
    <n v="82"/>
    <s v="Medium"/>
    <s v="Interstate"/>
    <n v="2"/>
  </r>
  <r>
    <s v="Mia Wilson"/>
    <x v="0"/>
    <s v="Bachelor of Nursing"/>
    <x v="0"/>
    <s v="Offered"/>
    <s v="Bachelor of Nursing"/>
    <s v="NULL"/>
    <s v="High"/>
    <s v="Local"/>
    <n v="17"/>
  </r>
  <r>
    <s v="Mohammed Al-Rashid"/>
    <x v="2"/>
    <s v="Bachelor of Engineering (Honours)"/>
    <x v="1"/>
    <s v="Offered"/>
    <s v="Bachelor of Engineering (Honours)"/>
    <n v="91"/>
    <s v="High"/>
    <s v="Interstate"/>
    <n v="2"/>
  </r>
  <r>
    <s v="Noah Garcia"/>
    <x v="0"/>
    <s v="Bachelor of Science"/>
    <x v="3"/>
    <s v="Offered"/>
    <s v="NULL"/>
    <n v="71"/>
    <s v="Medium"/>
    <s v="Local"/>
    <n v="17"/>
  </r>
  <r>
    <s v="Oliver Davis"/>
    <x v="0"/>
    <s v="Bachelor of Science"/>
    <x v="3"/>
    <s v="Not Offered"/>
    <s v="Bachelor of Information Technology"/>
    <n v="67.5"/>
    <s v="Low"/>
    <s v="Local"/>
    <n v="17"/>
  </r>
  <r>
    <s v="Olivia Smith"/>
    <x v="0"/>
    <s v="Bachelor of Business"/>
    <x v="3"/>
    <s v="Offered"/>
    <s v="NULL"/>
    <n v="76.8"/>
    <s v="Medium"/>
    <s v="Local"/>
    <n v="17"/>
  </r>
  <r>
    <s v="Sarah Mitchell"/>
    <x v="0"/>
    <s v="Bachelor of Computer Science"/>
    <x v="1"/>
    <s v="Offered"/>
    <s v="Bachelor of Computer Science"/>
    <n v="92.5"/>
    <s v="High"/>
    <s v="Local"/>
    <n v="17"/>
  </r>
  <r>
    <s v="Sophie Martin"/>
    <x v="0"/>
    <s v="Bachelor of Computer Science"/>
    <x v="1"/>
    <s v="Offered"/>
    <s v="Bachelor of Computer Science"/>
    <n v="86.9"/>
    <s v="Medium"/>
    <s v="Local"/>
    <n v="17"/>
  </r>
  <r>
    <s v="William Lee"/>
    <x v="0"/>
    <s v="Bachelor of Arts"/>
    <x v="1"/>
    <s v="Offered"/>
    <s v="Bachelor of Arts"/>
    <n v="73.2"/>
    <s v="Medium"/>
    <s v="Local"/>
    <n v="17"/>
  </r>
  <r>
    <m/>
    <x v="3"/>
    <m/>
    <x v="6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va Thompson"/>
    <s v="QLD"/>
    <s v="Bachelor of Education (Primary)"/>
    <x v="0"/>
    <s v="Offered"/>
    <s v="Bachelor of Education (Primary)"/>
    <n v="74.5"/>
    <s v="Medium"/>
    <s v="Local"/>
    <n v="17"/>
  </r>
  <r>
    <s v="Charlotte Anderson"/>
    <s v="QLD"/>
    <s v="Bachelor of Computer Science"/>
    <x v="1"/>
    <s v="Offered"/>
    <s v="Bachelor of Computer Science"/>
    <n v="90.1"/>
    <s v="High"/>
    <s v="Local"/>
    <n v="17"/>
  </r>
  <r>
    <s v="Chloe Patel"/>
    <s v="VIC"/>
    <s v="Bachelor of Psychological Science"/>
    <x v="0"/>
    <s v="Offered"/>
    <s v="Bachelor of Psychological Science"/>
    <n v="88.4"/>
    <s v="Medium"/>
    <s v="Interstate"/>
    <n v="1"/>
  </r>
  <r>
    <s v="Emily Zhang"/>
    <s v="QLD"/>
    <s v="Bachelor of Medicine"/>
    <x v="2"/>
    <s v="Not Offered"/>
    <s v="Bachelor of Engineering (Honours)"/>
    <n v="99.2"/>
    <s v="High"/>
    <s v="Local"/>
    <n v="17"/>
  </r>
  <r>
    <s v="Ethan Williams"/>
    <s v="QLD"/>
    <s v="Bachelor of Data Science"/>
    <x v="3"/>
    <s v="Offered"/>
    <s v="NULL"/>
    <n v="80.099999999999994"/>
    <s v="Medium"/>
    <s v="Local"/>
    <n v="17"/>
  </r>
  <r>
    <s v="Henry Thomas"/>
    <s v="QLD"/>
    <s v="Bachelor of Education (Primary)"/>
    <x v="0"/>
    <s v="Not Offered"/>
    <s v="NULL"/>
    <n v="69.8"/>
    <s v="Low"/>
    <s v="Local"/>
    <n v="17"/>
  </r>
  <r>
    <s v="Isabella Chen"/>
    <s v="QLD"/>
    <s v="Bachelor of Medicine"/>
    <x v="2"/>
    <s v="Offered"/>
    <s v="Bachelor of Medicine"/>
    <n v="98.7"/>
    <s v="High"/>
    <s v="Local"/>
    <n v="17"/>
  </r>
  <r>
    <s v="Jack Robinson"/>
    <s v="QLD"/>
    <s v="Bachelor of Laws"/>
    <x v="4"/>
    <s v="Not Offered"/>
    <s v="NULL"/>
    <s v="NULL"/>
    <s v="High"/>
    <s v="Local"/>
    <n v="17"/>
  </r>
  <r>
    <s v="James O'Connor"/>
    <s v="QLD"/>
    <s v="Bachelor of Engineering (Honours)"/>
    <x v="1"/>
    <s v="Offered"/>
    <s v="Bachelor of Science"/>
    <n v="85.3"/>
    <s v="Medium"/>
    <s v="Local"/>
    <n v="17"/>
  </r>
  <r>
    <s v="Jessica Brown"/>
    <s v="QLD"/>
    <s v="Bachelor of Nursing"/>
    <x v="0"/>
    <s v="Offered"/>
    <s v="Bachelor of Nursing"/>
    <n v="78.5"/>
    <s v="Medium"/>
    <s v="Local"/>
    <n v="17"/>
  </r>
  <r>
    <s v="Liam Nguyen"/>
    <s v="QLD"/>
    <s v="Bachelor of Information Technology"/>
    <x v="5"/>
    <s v="Offered"/>
    <s v="Bachelor of Information Technology"/>
    <n v="63"/>
    <s v="Low"/>
    <s v="Local"/>
    <n v="17"/>
  </r>
  <r>
    <s v="Lucas Taylor"/>
    <s v="NSW"/>
    <s v="Bachelor of Engineering (Honours)"/>
    <x v="1"/>
    <s v="Offered"/>
    <s v="Bachelor of Engineering (Honours)"/>
    <n v="82"/>
    <s v="Medium"/>
    <s v="Interstate"/>
    <n v="2"/>
  </r>
  <r>
    <s v="Mia Wilson"/>
    <s v="QLD"/>
    <s v="Bachelor of Nursing"/>
    <x v="0"/>
    <s v="Offered"/>
    <s v="Bachelor of Nursing"/>
    <s v="NULL"/>
    <s v="High"/>
    <s v="Local"/>
    <n v="17"/>
  </r>
  <r>
    <s v="Mohammed Al-Rashid"/>
    <s v="NSW"/>
    <s v="Bachelor of Engineering (Honours)"/>
    <x v="1"/>
    <s v="Offered"/>
    <s v="Bachelor of Engineering (Honours)"/>
    <n v="91"/>
    <s v="High"/>
    <s v="Interstate"/>
    <n v="2"/>
  </r>
  <r>
    <s v="Noah Garcia"/>
    <s v="QLD"/>
    <s v="Bachelor of Science"/>
    <x v="3"/>
    <s v="Offered"/>
    <s v="NULL"/>
    <n v="71"/>
    <s v="Medium"/>
    <s v="Local"/>
    <n v="17"/>
  </r>
  <r>
    <s v="Oliver Davis"/>
    <s v="QLD"/>
    <s v="Bachelor of Science"/>
    <x v="3"/>
    <s v="Not Offered"/>
    <s v="Bachelor of Information Technology"/>
    <n v="67.5"/>
    <s v="Low"/>
    <s v="Local"/>
    <n v="17"/>
  </r>
  <r>
    <s v="Olivia Smith"/>
    <s v="QLD"/>
    <s v="Bachelor of Business"/>
    <x v="3"/>
    <s v="Offered"/>
    <s v="NULL"/>
    <n v="76.8"/>
    <s v="Medium"/>
    <s v="Local"/>
    <n v="17"/>
  </r>
  <r>
    <s v="Sarah Mitchell"/>
    <s v="QLD"/>
    <s v="Bachelor of Computer Science"/>
    <x v="1"/>
    <s v="Offered"/>
    <s v="Bachelor of Computer Science"/>
    <n v="92.5"/>
    <s v="High"/>
    <s v="Local"/>
    <n v="17"/>
  </r>
  <r>
    <s v="Sophie Martin"/>
    <s v="QLD"/>
    <s v="Bachelor of Computer Science"/>
    <x v="1"/>
    <s v="Offered"/>
    <s v="Bachelor of Computer Science"/>
    <n v="86.9"/>
    <s v="Medium"/>
    <s v="Local"/>
    <n v="17"/>
  </r>
  <r>
    <s v="William Lee"/>
    <s v="QLD"/>
    <s v="Bachelor of Arts"/>
    <x v="1"/>
    <s v="Offered"/>
    <s v="Bachelor of Arts"/>
    <n v="73.2"/>
    <s v="Medium"/>
    <s v="Local"/>
    <n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n v="145"/>
    <n v="98"/>
    <n v="22"/>
    <n v="25"/>
  </r>
  <r>
    <x v="0"/>
    <x v="1"/>
    <x v="1"/>
    <n v="210"/>
    <n v="156"/>
    <n v="31"/>
    <n v="23"/>
  </r>
  <r>
    <x v="0"/>
    <x v="2"/>
    <x v="2"/>
    <n v="178"/>
    <n v="134"/>
    <n v="19"/>
    <n v="25"/>
  </r>
  <r>
    <x v="0"/>
    <x v="3"/>
    <x v="3"/>
    <n v="92"/>
    <n v="67"/>
    <n v="12"/>
    <n v="13"/>
  </r>
  <r>
    <x v="0"/>
    <x v="4"/>
    <x v="4"/>
    <n v="64"/>
    <n v="48"/>
    <n v="9"/>
    <n v="7"/>
  </r>
  <r>
    <x v="0"/>
    <x v="5"/>
    <x v="5"/>
    <n v="53"/>
    <n v="38"/>
    <n v="8"/>
    <n v="7"/>
  </r>
  <r>
    <x v="0"/>
    <x v="6"/>
    <x v="6"/>
    <n v="41"/>
    <n v="29"/>
    <n v="6"/>
    <n v="6"/>
  </r>
  <r>
    <x v="1"/>
    <x v="0"/>
    <x v="0"/>
    <n v="87"/>
    <n v="62"/>
    <n v="14"/>
    <n v="11"/>
  </r>
  <r>
    <x v="1"/>
    <x v="1"/>
    <x v="1"/>
    <n v="124"/>
    <n v="95"/>
    <n v="18"/>
    <n v="11"/>
  </r>
  <r>
    <x v="1"/>
    <x v="2"/>
    <x v="2"/>
    <n v="103"/>
    <n v="78"/>
    <n v="13"/>
    <n v="12"/>
  </r>
  <r>
    <x v="1"/>
    <x v="3"/>
    <x v="3"/>
    <n v="56"/>
    <n v="41"/>
    <n v="9"/>
    <n v="6"/>
  </r>
  <r>
    <x v="1"/>
    <x v="4"/>
    <x v="4"/>
    <n v="38"/>
    <n v="28"/>
    <n v="6"/>
    <n v="4"/>
  </r>
  <r>
    <x v="1"/>
    <x v="5"/>
    <x v="5"/>
    <n v="31"/>
    <n v="22"/>
    <n v="5"/>
    <n v="4"/>
  </r>
  <r>
    <x v="1"/>
    <x v="6"/>
    <x v="6"/>
    <n v="24"/>
    <n v="17"/>
    <n v="4"/>
    <n v="3"/>
  </r>
  <r>
    <x v="2"/>
    <x v="0"/>
    <x v="0"/>
    <n v="52"/>
    <n v="35"/>
    <n v="9"/>
    <n v="8"/>
  </r>
  <r>
    <x v="2"/>
    <x v="1"/>
    <x v="1"/>
    <n v="78"/>
    <n v="58"/>
    <n v="12"/>
    <n v="8"/>
  </r>
  <r>
    <x v="2"/>
    <x v="2"/>
    <x v="2"/>
    <n v="61"/>
    <n v="44"/>
    <n v="10"/>
    <n v="7"/>
  </r>
  <r>
    <x v="2"/>
    <x v="3"/>
    <x v="3"/>
    <n v="34"/>
    <n v="24"/>
    <n v="6"/>
    <n v="4"/>
  </r>
  <r>
    <x v="2"/>
    <x v="4"/>
    <x v="4"/>
    <n v="22"/>
    <n v="16"/>
    <n v="3"/>
    <n v="3"/>
  </r>
  <r>
    <x v="2"/>
    <x v="5"/>
    <x v="5"/>
    <n v="18"/>
    <n v="12"/>
    <n v="3"/>
    <n v="3"/>
  </r>
  <r>
    <x v="2"/>
    <x v="6"/>
    <x v="6"/>
    <n v="14"/>
    <n v="9"/>
    <n v="3"/>
    <n v="2"/>
  </r>
  <r>
    <x v="3"/>
    <x v="0"/>
    <x v="0"/>
    <n v="28"/>
    <n v="18"/>
    <n v="5"/>
    <n v="5"/>
  </r>
  <r>
    <x v="3"/>
    <x v="1"/>
    <x v="1"/>
    <n v="41"/>
    <n v="29"/>
    <n v="7"/>
    <n v="5"/>
  </r>
  <r>
    <x v="3"/>
    <x v="2"/>
    <x v="2"/>
    <n v="33"/>
    <n v="22"/>
    <n v="6"/>
    <n v="5"/>
  </r>
  <r>
    <x v="3"/>
    <x v="3"/>
    <x v="3"/>
    <n v="19"/>
    <n v="13"/>
    <n v="3"/>
    <n v="3"/>
  </r>
  <r>
    <x v="3"/>
    <x v="4"/>
    <x v="4"/>
    <n v="12"/>
    <n v="8"/>
    <n v="2"/>
    <n v="2"/>
  </r>
  <r>
    <x v="3"/>
    <x v="5"/>
    <x v="5"/>
    <n v="9"/>
    <n v="6"/>
    <n v="2"/>
    <n v="1"/>
  </r>
  <r>
    <x v="3"/>
    <x v="6"/>
    <x v="6"/>
    <n v="7"/>
    <n v="4"/>
    <n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D598D-ACB1-487A-8BD7-65B6B7F6589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1" firstHeaderRow="1" firstDataRow="1" firstDataCol="1"/>
  <pivotFields count="10">
    <pivotField dataField="1"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>
      <items count="8">
        <item x="0"/>
        <item x="2"/>
        <item x="3"/>
        <item x="4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pplican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800CD-5282-4028-893B-3D5A471453D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2" firstHeaderRow="1" firstDataRow="1" firstDataCol="1"/>
  <pivotFields count="10">
    <pivotField showAll="0"/>
    <pivotField showAll="0"/>
    <pivotField showAll="0"/>
    <pivotField axis="axisRow" showAll="0">
      <items count="7">
        <item x="0"/>
        <item x="2"/>
        <item x="3"/>
        <item h="1" x="4"/>
        <item x="1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Average of ATAR" fld="6" subtotal="average" baseField="3" baseItem="0"/>
  </dataFields>
  <formats count="2">
    <format dxfId="1">
      <pivotArea grandRow="1" outline="0" collapsedLevelsAreSubtotals="1" fieldPosition="0"/>
    </format>
    <format dxfId="0">
      <pivotArea collapsedLevelsAreSubtotals="1" fieldPosition="0">
        <references count="1">
          <reference field="3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5803D-9248-44C0-A236-FF0AE1F5F405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14:D22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Applications" fld="1" baseField="2" baseItem="0"/>
    <dataField name=" Offers Made" fld="0" baseField="2" baseItem="0"/>
    <dataField name="Accepted" fld="3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Offers Made"/>
    <pivotHierarchy dragToData="1" caption="Total Applications"/>
    <pivotHierarchy dragToData="1"/>
    <pivotHierarchy dragToData="1" caption="Accepted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!$A:$G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871E8-5AA7-439B-8603-C048FB2EE2BA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5:S11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>
      <items count="8">
        <item x="6"/>
        <item x="2"/>
        <item x="4"/>
        <item x="0"/>
        <item x="5"/>
        <item x="1"/>
        <item x="3"/>
        <item t="default"/>
      </items>
    </pivotField>
    <pivotField axis="axisCol" showAll="0">
      <items count="8">
        <item x="6"/>
        <item x="2"/>
        <item x="4"/>
        <item x="0"/>
        <item x="5"/>
        <item x="1"/>
        <item x="3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ffers_made" fld="3" baseField="0" baseItem="0"/>
  </dataFields>
  <chartFormats count="1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4A91-A973-407F-A264-6C9E4B67EEF3}">
  <dimension ref="A1:J21"/>
  <sheetViews>
    <sheetView workbookViewId="0">
      <selection activeCell="C25" sqref="C25"/>
    </sheetView>
  </sheetViews>
  <sheetFormatPr defaultRowHeight="14.4" x14ac:dyDescent="0.3"/>
  <cols>
    <col min="1" max="1" width="20.21875" bestFit="1" customWidth="1"/>
    <col min="2" max="2" width="5.109375" bestFit="1" customWidth="1"/>
    <col min="3" max="3" width="32.109375" bestFit="1" customWidth="1"/>
    <col min="4" max="4" width="33.21875" bestFit="1" customWidth="1"/>
    <col min="5" max="5" width="13.21875" bestFit="1" customWidth="1"/>
    <col min="6" max="6" width="32.109375" bestFit="1" customWidth="1"/>
    <col min="7" max="7" width="5.33203125" bestFit="1" customWidth="1"/>
    <col min="8" max="8" width="20.33203125" customWidth="1"/>
    <col min="9" max="9" width="14" customWidth="1"/>
    <col min="10" max="10" width="20.5546875" customWidth="1"/>
  </cols>
  <sheetData>
    <row r="1" spans="1:10" x14ac:dyDescent="0.3">
      <c r="A1" t="s">
        <v>0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2" t="s">
        <v>65</v>
      </c>
      <c r="I1" s="1" t="s">
        <v>66</v>
      </c>
      <c r="J1" s="2" t="s">
        <v>67</v>
      </c>
    </row>
    <row r="2" spans="1:10" x14ac:dyDescent="0.3">
      <c r="A2" t="s">
        <v>42</v>
      </c>
      <c r="B2" t="s">
        <v>5</v>
      </c>
      <c r="C2" t="s">
        <v>14</v>
      </c>
      <c r="D2" t="s">
        <v>31</v>
      </c>
      <c r="E2" t="s">
        <v>7</v>
      </c>
      <c r="F2" t="s">
        <v>14</v>
      </c>
      <c r="G2">
        <v>74.5</v>
      </c>
      <c r="H2" t="str" cm="1">
        <f t="array" ref="H2">_xlfn.IFS(G2&gt;=90, "High", G2&gt;=70, "Medium", G2&gt;0, "Low", TRUE, "N/A")</f>
        <v>Medium</v>
      </c>
      <c r="I2" t="str">
        <f>IF(B2="QLD","Local","Interstate")</f>
        <v>Local</v>
      </c>
      <c r="J2">
        <f>COUNTIFS(B:B, B2)</f>
        <v>17</v>
      </c>
    </row>
    <row r="3" spans="1:10" x14ac:dyDescent="0.3">
      <c r="A3" t="s">
        <v>43</v>
      </c>
      <c r="B3" t="s">
        <v>5</v>
      </c>
      <c r="C3" t="s">
        <v>44</v>
      </c>
      <c r="D3" t="s">
        <v>30</v>
      </c>
      <c r="E3" t="s">
        <v>7</v>
      </c>
      <c r="F3" t="s">
        <v>44</v>
      </c>
      <c r="G3">
        <v>90.1</v>
      </c>
      <c r="H3" t="str" cm="1">
        <f t="array" ref="H3">_xlfn.IFS(G3&gt;=90, "High", G3&gt;=70, "Medium", G3&gt;0, "Low", TRUE, "N/A")</f>
        <v>High</v>
      </c>
      <c r="I3" t="str">
        <f t="shared" ref="I3:I21" si="0">IF(B3="QLD","Local","Interstate")</f>
        <v>Local</v>
      </c>
      <c r="J3">
        <f t="shared" ref="J3:J21" si="1">COUNTIFS(B:B, B3)</f>
        <v>17</v>
      </c>
    </row>
    <row r="4" spans="1:10" x14ac:dyDescent="0.3">
      <c r="A4" t="s">
        <v>45</v>
      </c>
      <c r="B4" t="s">
        <v>46</v>
      </c>
      <c r="C4" t="s">
        <v>47</v>
      </c>
      <c r="D4" t="s">
        <v>31</v>
      </c>
      <c r="E4" t="s">
        <v>7</v>
      </c>
      <c r="F4" t="s">
        <v>47</v>
      </c>
      <c r="G4">
        <v>88.4</v>
      </c>
      <c r="H4" t="str" cm="1">
        <f t="array" ref="H4">_xlfn.IFS(G4&gt;=90, "High", G4&gt;=70, "Medium", G4&gt;0, "Low", TRUE, "N/A")</f>
        <v>Medium</v>
      </c>
      <c r="I4" t="str">
        <f t="shared" si="0"/>
        <v>Interstate</v>
      </c>
      <c r="J4">
        <f t="shared" si="1"/>
        <v>1</v>
      </c>
    </row>
    <row r="5" spans="1:10" x14ac:dyDescent="0.3">
      <c r="A5" t="s">
        <v>48</v>
      </c>
      <c r="B5" t="s">
        <v>5</v>
      </c>
      <c r="C5" t="s">
        <v>49</v>
      </c>
      <c r="D5" t="s">
        <v>34</v>
      </c>
      <c r="E5" t="s">
        <v>10</v>
      </c>
      <c r="F5" t="s">
        <v>50</v>
      </c>
      <c r="G5">
        <v>99.2</v>
      </c>
      <c r="H5" t="str" cm="1">
        <f t="array" ref="H5">_xlfn.IFS(G5&gt;=90, "High", G5&gt;=70, "Medium", G5&gt;0, "Low", TRUE, "N/A")</f>
        <v>High</v>
      </c>
      <c r="I5" t="str">
        <f t="shared" si="0"/>
        <v>Local</v>
      </c>
      <c r="J5">
        <f t="shared" si="1"/>
        <v>17</v>
      </c>
    </row>
    <row r="6" spans="1:10" x14ac:dyDescent="0.3">
      <c r="A6" t="s">
        <v>1</v>
      </c>
      <c r="B6" t="s">
        <v>5</v>
      </c>
      <c r="C6" t="s">
        <v>6</v>
      </c>
      <c r="D6" t="s">
        <v>32</v>
      </c>
      <c r="E6" t="s">
        <v>7</v>
      </c>
      <c r="F6" t="s">
        <v>11</v>
      </c>
      <c r="G6">
        <v>80.099999999999994</v>
      </c>
      <c r="H6" t="str" cm="1">
        <f t="array" ref="H6">_xlfn.IFS(G6&gt;=90, "High", G6&gt;=70, "Medium", G6&gt;0, "Low", TRUE, "N/A")</f>
        <v>Medium</v>
      </c>
      <c r="I6" t="str">
        <f t="shared" si="0"/>
        <v>Local</v>
      </c>
      <c r="J6">
        <f t="shared" si="1"/>
        <v>17</v>
      </c>
    </row>
    <row r="7" spans="1:10" x14ac:dyDescent="0.3">
      <c r="A7" t="s">
        <v>13</v>
      </c>
      <c r="B7" t="s">
        <v>5</v>
      </c>
      <c r="C7" t="s">
        <v>14</v>
      </c>
      <c r="D7" t="s">
        <v>31</v>
      </c>
      <c r="E7" t="s">
        <v>10</v>
      </c>
      <c r="F7" t="s">
        <v>11</v>
      </c>
      <c r="G7">
        <v>69.8</v>
      </c>
      <c r="H7" t="str" cm="1">
        <f t="array" ref="H7">_xlfn.IFS(G7&gt;=90, "High", G7&gt;=70, "Medium", G7&gt;0, "Low", TRUE, "N/A")</f>
        <v>Low</v>
      </c>
      <c r="I7" t="str">
        <f t="shared" si="0"/>
        <v>Local</v>
      </c>
      <c r="J7">
        <f t="shared" si="1"/>
        <v>17</v>
      </c>
    </row>
    <row r="8" spans="1:10" x14ac:dyDescent="0.3">
      <c r="A8" t="s">
        <v>51</v>
      </c>
      <c r="B8" t="s">
        <v>5</v>
      </c>
      <c r="C8" t="s">
        <v>49</v>
      </c>
      <c r="D8" t="s">
        <v>34</v>
      </c>
      <c r="E8" t="s">
        <v>7</v>
      </c>
      <c r="F8" t="s">
        <v>49</v>
      </c>
      <c r="G8">
        <v>98.7</v>
      </c>
      <c r="H8" t="str" cm="1">
        <f t="array" ref="H8">_xlfn.IFS(G8&gt;=90, "High", G8&gt;=70, "Medium", G8&gt;0, "Low", TRUE, "N/A")</f>
        <v>High</v>
      </c>
      <c r="I8" t="str">
        <f t="shared" si="0"/>
        <v>Local</v>
      </c>
      <c r="J8">
        <f t="shared" si="1"/>
        <v>17</v>
      </c>
    </row>
    <row r="9" spans="1:10" x14ac:dyDescent="0.3">
      <c r="A9" t="s">
        <v>16</v>
      </c>
      <c r="B9" t="s">
        <v>5</v>
      </c>
      <c r="C9" t="s">
        <v>17</v>
      </c>
      <c r="D9" t="s">
        <v>35</v>
      </c>
      <c r="E9" t="s">
        <v>10</v>
      </c>
      <c r="F9" t="s">
        <v>11</v>
      </c>
      <c r="G9" t="s">
        <v>11</v>
      </c>
      <c r="H9" t="str" cm="1">
        <f t="array" ref="H9">_xlfn.IFS(G9&gt;=90, "High", G9&gt;=70, "Medium", G9&gt;0, "Low", TRUE, "N/A")</f>
        <v>High</v>
      </c>
      <c r="I9" t="str">
        <f t="shared" si="0"/>
        <v>Local</v>
      </c>
      <c r="J9">
        <f t="shared" si="1"/>
        <v>17</v>
      </c>
    </row>
    <row r="10" spans="1:10" x14ac:dyDescent="0.3">
      <c r="A10" t="s">
        <v>52</v>
      </c>
      <c r="B10" t="s">
        <v>5</v>
      </c>
      <c r="C10" t="s">
        <v>50</v>
      </c>
      <c r="D10" t="s">
        <v>30</v>
      </c>
      <c r="E10" t="s">
        <v>7</v>
      </c>
      <c r="F10" t="s">
        <v>19</v>
      </c>
      <c r="G10">
        <v>85.3</v>
      </c>
      <c r="H10" t="str" cm="1">
        <f t="array" ref="H10">_xlfn.IFS(G10&gt;=90, "High", G10&gt;=70, "Medium", G10&gt;0, "Low", TRUE, "N/A")</f>
        <v>Medium</v>
      </c>
      <c r="I10" t="str">
        <f t="shared" si="0"/>
        <v>Local</v>
      </c>
      <c r="J10">
        <f t="shared" si="1"/>
        <v>17</v>
      </c>
    </row>
    <row r="11" spans="1:10" x14ac:dyDescent="0.3">
      <c r="A11" t="s">
        <v>53</v>
      </c>
      <c r="B11" t="s">
        <v>5</v>
      </c>
      <c r="C11" t="s">
        <v>15</v>
      </c>
      <c r="D11" t="s">
        <v>31</v>
      </c>
      <c r="E11" t="s">
        <v>7</v>
      </c>
      <c r="F11" t="s">
        <v>15</v>
      </c>
      <c r="G11">
        <v>78.5</v>
      </c>
      <c r="H11" t="str" cm="1">
        <f t="array" ref="H11">_xlfn.IFS(G11&gt;=90, "High", G11&gt;=70, "Medium", G11&gt;0, "Low", TRUE, "N/A")</f>
        <v>Medium</v>
      </c>
      <c r="I11" t="str">
        <f t="shared" si="0"/>
        <v>Local</v>
      </c>
      <c r="J11">
        <f t="shared" si="1"/>
        <v>17</v>
      </c>
    </row>
    <row r="12" spans="1:10" x14ac:dyDescent="0.3">
      <c r="A12" t="s">
        <v>54</v>
      </c>
      <c r="B12" t="s">
        <v>5</v>
      </c>
      <c r="C12" t="s">
        <v>9</v>
      </c>
      <c r="D12" t="s">
        <v>33</v>
      </c>
      <c r="E12" t="s">
        <v>7</v>
      </c>
      <c r="F12" t="s">
        <v>9</v>
      </c>
      <c r="G12">
        <v>63</v>
      </c>
      <c r="H12" t="str" cm="1">
        <f t="array" ref="H12">_xlfn.IFS(G12&gt;=90, "High", G12&gt;=70, "Medium", G12&gt;0, "Low", TRUE, "N/A")</f>
        <v>Low</v>
      </c>
      <c r="I12" t="str">
        <f t="shared" si="0"/>
        <v>Local</v>
      </c>
      <c r="J12">
        <f t="shared" si="1"/>
        <v>17</v>
      </c>
    </row>
    <row r="13" spans="1:10" x14ac:dyDescent="0.3">
      <c r="A13" t="s">
        <v>55</v>
      </c>
      <c r="B13" t="s">
        <v>56</v>
      </c>
      <c r="C13" t="s">
        <v>50</v>
      </c>
      <c r="D13" t="s">
        <v>30</v>
      </c>
      <c r="E13" t="s">
        <v>7</v>
      </c>
      <c r="F13" t="s">
        <v>50</v>
      </c>
      <c r="G13">
        <v>82</v>
      </c>
      <c r="H13" t="str" cm="1">
        <f t="array" ref="H13">_xlfn.IFS(G13&gt;=90, "High", G13&gt;=70, "Medium", G13&gt;0, "Low", TRUE, "N/A")</f>
        <v>Medium</v>
      </c>
      <c r="I13" t="str">
        <f t="shared" si="0"/>
        <v>Interstate</v>
      </c>
      <c r="J13">
        <f t="shared" si="1"/>
        <v>2</v>
      </c>
    </row>
    <row r="14" spans="1:10" x14ac:dyDescent="0.3">
      <c r="A14" t="s">
        <v>57</v>
      </c>
      <c r="B14" t="s">
        <v>5</v>
      </c>
      <c r="C14" t="s">
        <v>15</v>
      </c>
      <c r="D14" t="s">
        <v>31</v>
      </c>
      <c r="E14" t="s">
        <v>7</v>
      </c>
      <c r="F14" t="s">
        <v>15</v>
      </c>
      <c r="G14" t="s">
        <v>11</v>
      </c>
      <c r="H14" t="str" cm="1">
        <f t="array" ref="H14">_xlfn.IFS(G14&gt;=90, "High", G14&gt;=70, "Medium", G14&gt;0, "Low", TRUE, "N/A")</f>
        <v>High</v>
      </c>
      <c r="I14" t="str">
        <f t="shared" si="0"/>
        <v>Local</v>
      </c>
      <c r="J14">
        <f t="shared" si="1"/>
        <v>17</v>
      </c>
    </row>
    <row r="15" spans="1:10" x14ac:dyDescent="0.3">
      <c r="A15" t="s">
        <v>58</v>
      </c>
      <c r="B15" t="s">
        <v>56</v>
      </c>
      <c r="C15" t="s">
        <v>50</v>
      </c>
      <c r="D15" t="s">
        <v>30</v>
      </c>
      <c r="E15" t="s">
        <v>7</v>
      </c>
      <c r="F15" t="s">
        <v>50</v>
      </c>
      <c r="G15">
        <v>91</v>
      </c>
      <c r="H15" t="str" cm="1">
        <f t="array" ref="H15">_xlfn.IFS(G15&gt;=90, "High", G15&gt;=70, "Medium", G15&gt;0, "Low", TRUE, "N/A")</f>
        <v>High</v>
      </c>
      <c r="I15" t="str">
        <f t="shared" si="0"/>
        <v>Interstate</v>
      </c>
      <c r="J15">
        <f t="shared" si="1"/>
        <v>2</v>
      </c>
    </row>
    <row r="16" spans="1:10" x14ac:dyDescent="0.3">
      <c r="A16" t="s">
        <v>18</v>
      </c>
      <c r="B16" t="s">
        <v>5</v>
      </c>
      <c r="C16" t="s">
        <v>19</v>
      </c>
      <c r="D16" t="s">
        <v>32</v>
      </c>
      <c r="E16" t="s">
        <v>7</v>
      </c>
      <c r="F16" t="s">
        <v>11</v>
      </c>
      <c r="G16">
        <v>71</v>
      </c>
      <c r="H16" t="str" cm="1">
        <f t="array" ref="H16">_xlfn.IFS(G16&gt;=90, "High", G16&gt;=70, "Medium", G16&gt;0, "Low", TRUE, "N/A")</f>
        <v>Medium</v>
      </c>
      <c r="I16" t="str">
        <f t="shared" si="0"/>
        <v>Local</v>
      </c>
      <c r="J16">
        <f t="shared" si="1"/>
        <v>17</v>
      </c>
    </row>
    <row r="17" spans="1:10" x14ac:dyDescent="0.3">
      <c r="A17" t="s">
        <v>59</v>
      </c>
      <c r="B17" t="s">
        <v>5</v>
      </c>
      <c r="C17" t="s">
        <v>19</v>
      </c>
      <c r="D17" t="s">
        <v>32</v>
      </c>
      <c r="E17" t="s">
        <v>10</v>
      </c>
      <c r="F17" t="s">
        <v>9</v>
      </c>
      <c r="G17">
        <v>67.5</v>
      </c>
      <c r="H17" t="str" cm="1">
        <f t="array" ref="H17">_xlfn.IFS(G17&gt;=90, "High", G17&gt;=70, "Medium", G17&gt;0, "Low", TRUE, "N/A")</f>
        <v>Low</v>
      </c>
      <c r="I17" t="str">
        <f t="shared" si="0"/>
        <v>Local</v>
      </c>
      <c r="J17">
        <f t="shared" si="1"/>
        <v>17</v>
      </c>
    </row>
    <row r="18" spans="1:10" x14ac:dyDescent="0.3">
      <c r="A18" t="s">
        <v>21</v>
      </c>
      <c r="B18" t="s">
        <v>5</v>
      </c>
      <c r="C18" t="s">
        <v>22</v>
      </c>
      <c r="D18" t="s">
        <v>32</v>
      </c>
      <c r="E18" t="s">
        <v>7</v>
      </c>
      <c r="F18" t="s">
        <v>11</v>
      </c>
      <c r="G18">
        <v>76.8</v>
      </c>
      <c r="H18" t="str" cm="1">
        <f t="array" ref="H18">_xlfn.IFS(G18&gt;=90, "High", G18&gt;=70, "Medium", G18&gt;0, "Low", TRUE, "N/A")</f>
        <v>Medium</v>
      </c>
      <c r="I18" t="str">
        <f t="shared" si="0"/>
        <v>Local</v>
      </c>
      <c r="J18">
        <f t="shared" si="1"/>
        <v>17</v>
      </c>
    </row>
    <row r="19" spans="1:10" x14ac:dyDescent="0.3">
      <c r="A19" t="s">
        <v>60</v>
      </c>
      <c r="B19" t="s">
        <v>5</v>
      </c>
      <c r="C19" t="s">
        <v>44</v>
      </c>
      <c r="D19" t="s">
        <v>30</v>
      </c>
      <c r="E19" t="s">
        <v>7</v>
      </c>
      <c r="F19" t="s">
        <v>44</v>
      </c>
      <c r="G19">
        <v>92.5</v>
      </c>
      <c r="H19" t="str" cm="1">
        <f t="array" ref="H19">_xlfn.IFS(G19&gt;=90, "High", G19&gt;=70, "Medium", G19&gt;0, "Low", TRUE, "N/A")</f>
        <v>High</v>
      </c>
      <c r="I19" t="str">
        <f t="shared" si="0"/>
        <v>Local</v>
      </c>
      <c r="J19">
        <f t="shared" si="1"/>
        <v>17</v>
      </c>
    </row>
    <row r="20" spans="1:10" x14ac:dyDescent="0.3">
      <c r="A20" t="s">
        <v>61</v>
      </c>
      <c r="B20" t="s">
        <v>5</v>
      </c>
      <c r="C20" t="s">
        <v>44</v>
      </c>
      <c r="D20" t="s">
        <v>30</v>
      </c>
      <c r="E20" t="s">
        <v>7</v>
      </c>
      <c r="F20" t="s">
        <v>44</v>
      </c>
      <c r="G20">
        <v>86.9</v>
      </c>
      <c r="H20" t="str" cm="1">
        <f t="array" ref="H20">_xlfn.IFS(G20&gt;=90, "High", G20&gt;=70, "Medium", G20&gt;0, "Low", TRUE, "N/A")</f>
        <v>Medium</v>
      </c>
      <c r="I20" t="str">
        <f t="shared" si="0"/>
        <v>Local</v>
      </c>
      <c r="J20">
        <f t="shared" si="1"/>
        <v>17</v>
      </c>
    </row>
    <row r="21" spans="1:10" x14ac:dyDescent="0.3">
      <c r="A21" t="s">
        <v>62</v>
      </c>
      <c r="B21" t="s">
        <v>5</v>
      </c>
      <c r="C21" t="s">
        <v>63</v>
      </c>
      <c r="D21" t="s">
        <v>30</v>
      </c>
      <c r="E21" t="s">
        <v>7</v>
      </c>
      <c r="F21" t="s">
        <v>63</v>
      </c>
      <c r="G21">
        <v>73.2</v>
      </c>
      <c r="H21" t="str" cm="1">
        <f t="array" ref="H21">_xlfn.IFS(G21&gt;=90, "High", G21&gt;=70, "Medium", G21&gt;0, "Low", TRUE, "N/A")</f>
        <v>Medium</v>
      </c>
      <c r="I21" t="str">
        <f t="shared" si="0"/>
        <v>Local</v>
      </c>
      <c r="J21">
        <f t="shared" si="1"/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057B-5A76-4D48-A336-72F462F64CF6}">
  <dimension ref="A1:G8"/>
  <sheetViews>
    <sheetView workbookViewId="0">
      <selection sqref="A1:XFD1048576"/>
    </sheetView>
  </sheetViews>
  <sheetFormatPr defaultRowHeight="14.4" x14ac:dyDescent="0.3"/>
  <cols>
    <col min="1" max="1" width="33.21875" style="4" bestFit="1" customWidth="1"/>
    <col min="2" max="2" width="16.77734375" style="4" bestFit="1" customWidth="1"/>
    <col min="3" max="3" width="19.109375" style="4" bestFit="1" customWidth="1"/>
    <col min="4" max="4" width="11.21875" style="4" bestFit="1" customWidth="1"/>
    <col min="5" max="5" width="14.44140625" style="4" bestFit="1" customWidth="1"/>
    <col min="6" max="6" width="11.21875" style="4" bestFit="1" customWidth="1"/>
    <col min="7" max="7" width="17.21875" style="4" bestFit="1" customWidth="1"/>
    <col min="8" max="16384" width="8.88671875" style="4"/>
  </cols>
  <sheetData>
    <row r="1" spans="1:7" x14ac:dyDescent="0.3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3">
      <c r="A2" s="4" t="s">
        <v>30</v>
      </c>
      <c r="B2" s="4">
        <v>10</v>
      </c>
      <c r="C2" s="4">
        <v>8</v>
      </c>
      <c r="D2" s="4">
        <v>9</v>
      </c>
      <c r="E2" s="4">
        <v>8</v>
      </c>
      <c r="F2" s="4">
        <v>90</v>
      </c>
      <c r="G2" s="4">
        <v>88.89</v>
      </c>
    </row>
    <row r="3" spans="1:7" x14ac:dyDescent="0.3">
      <c r="A3" s="4" t="s">
        <v>31</v>
      </c>
      <c r="B3" s="4">
        <v>7</v>
      </c>
      <c r="C3" s="4">
        <v>5</v>
      </c>
      <c r="D3" s="4">
        <v>4</v>
      </c>
      <c r="E3" s="4">
        <v>4</v>
      </c>
      <c r="F3" s="4">
        <v>57.14</v>
      </c>
      <c r="G3" s="4">
        <v>100</v>
      </c>
    </row>
    <row r="4" spans="1:7" x14ac:dyDescent="0.3">
      <c r="A4" s="4" t="s">
        <v>32</v>
      </c>
      <c r="B4" s="4">
        <v>7</v>
      </c>
      <c r="C4" s="4">
        <v>4</v>
      </c>
      <c r="D4" s="4">
        <v>4</v>
      </c>
      <c r="E4" s="4">
        <v>1</v>
      </c>
      <c r="F4" s="4">
        <v>57.14</v>
      </c>
      <c r="G4" s="4">
        <v>25</v>
      </c>
    </row>
    <row r="5" spans="1:7" x14ac:dyDescent="0.3">
      <c r="A5" s="4" t="s">
        <v>33</v>
      </c>
      <c r="B5" s="4">
        <v>4</v>
      </c>
      <c r="C5" s="4">
        <v>1</v>
      </c>
      <c r="D5" s="4">
        <v>3</v>
      </c>
      <c r="E5" s="4">
        <v>2</v>
      </c>
      <c r="F5" s="4">
        <v>75</v>
      </c>
      <c r="G5" s="4">
        <v>66.67</v>
      </c>
    </row>
    <row r="6" spans="1:7" x14ac:dyDescent="0.3">
      <c r="A6" s="4" t="s">
        <v>34</v>
      </c>
      <c r="B6" s="4">
        <v>2</v>
      </c>
      <c r="C6" s="4">
        <v>2</v>
      </c>
      <c r="D6" s="4">
        <v>1</v>
      </c>
      <c r="E6" s="4">
        <v>1</v>
      </c>
      <c r="F6" s="4">
        <v>50</v>
      </c>
      <c r="G6" s="4">
        <v>100</v>
      </c>
    </row>
    <row r="7" spans="1:7" x14ac:dyDescent="0.3">
      <c r="A7" s="4" t="s">
        <v>35</v>
      </c>
      <c r="B7" s="4">
        <v>1</v>
      </c>
      <c r="C7" s="4">
        <v>1</v>
      </c>
      <c r="D7" s="4">
        <v>0</v>
      </c>
      <c r="E7" s="4">
        <v>0</v>
      </c>
      <c r="F7" s="4">
        <v>0</v>
      </c>
      <c r="G7" s="4" t="s">
        <v>11</v>
      </c>
    </row>
    <row r="8" spans="1:7" x14ac:dyDescent="0.3">
      <c r="A8" s="4" t="s">
        <v>36</v>
      </c>
      <c r="B8" s="4">
        <v>0</v>
      </c>
      <c r="C8" s="4">
        <v>0</v>
      </c>
      <c r="D8" s="4">
        <v>0</v>
      </c>
      <c r="E8" s="4">
        <v>0</v>
      </c>
      <c r="F8" s="4" t="s">
        <v>11</v>
      </c>
      <c r="G8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3FAA-8F4F-4945-B0AB-2BF554605041}">
  <dimension ref="A1:F10"/>
  <sheetViews>
    <sheetView workbookViewId="0">
      <selection activeCell="D35" sqref="D35"/>
    </sheetView>
  </sheetViews>
  <sheetFormatPr defaultRowHeight="14.4" x14ac:dyDescent="0.3"/>
  <cols>
    <col min="1" max="1" width="14.88671875" bestFit="1" customWidth="1"/>
    <col min="2" max="2" width="5.109375" bestFit="1" customWidth="1"/>
    <col min="3" max="3" width="32.109375" bestFit="1" customWidth="1"/>
    <col min="4" max="4" width="8.109375" customWidth="1"/>
    <col min="5" max="5" width="14.6640625" bestFit="1" customWidth="1"/>
    <col min="6" max="6" width="18.21875" bestFit="1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64</v>
      </c>
      <c r="E1" s="3" t="s">
        <v>73</v>
      </c>
      <c r="F1" t="s">
        <v>4</v>
      </c>
    </row>
    <row r="2" spans="1:6" x14ac:dyDescent="0.3">
      <c r="A2" t="s">
        <v>1</v>
      </c>
      <c r="B2" t="s">
        <v>5</v>
      </c>
      <c r="C2" t="s">
        <v>6</v>
      </c>
      <c r="D2">
        <v>1</v>
      </c>
      <c r="E2" t="s">
        <v>7</v>
      </c>
      <c r="F2" t="s">
        <v>8</v>
      </c>
    </row>
    <row r="3" spans="1:6" x14ac:dyDescent="0.3">
      <c r="A3" t="s">
        <v>1</v>
      </c>
      <c r="B3" t="s">
        <v>5</v>
      </c>
      <c r="C3" t="s">
        <v>9</v>
      </c>
      <c r="D3">
        <v>2</v>
      </c>
      <c r="E3" t="s">
        <v>10</v>
      </c>
      <c r="F3" t="s">
        <v>11</v>
      </c>
    </row>
    <row r="4" spans="1:6" x14ac:dyDescent="0.3">
      <c r="A4" t="s">
        <v>1</v>
      </c>
      <c r="B4" t="s">
        <v>5</v>
      </c>
      <c r="C4" t="s">
        <v>12</v>
      </c>
      <c r="D4">
        <v>3</v>
      </c>
      <c r="E4" t="s">
        <v>7</v>
      </c>
      <c r="F4" t="s">
        <v>8</v>
      </c>
    </row>
    <row r="5" spans="1:6" x14ac:dyDescent="0.3">
      <c r="A5" t="s">
        <v>13</v>
      </c>
      <c r="B5" t="s">
        <v>5</v>
      </c>
      <c r="C5" t="s">
        <v>14</v>
      </c>
      <c r="D5">
        <v>1</v>
      </c>
      <c r="E5" t="s">
        <v>10</v>
      </c>
      <c r="F5" t="s">
        <v>11</v>
      </c>
    </row>
    <row r="6" spans="1:6" x14ac:dyDescent="0.3">
      <c r="A6" t="s">
        <v>13</v>
      </c>
      <c r="B6" t="s">
        <v>5</v>
      </c>
      <c r="C6" t="s">
        <v>15</v>
      </c>
      <c r="D6">
        <v>2</v>
      </c>
      <c r="E6" t="s">
        <v>10</v>
      </c>
      <c r="F6" t="s">
        <v>11</v>
      </c>
    </row>
    <row r="7" spans="1:6" x14ac:dyDescent="0.3">
      <c r="A7" t="s">
        <v>16</v>
      </c>
      <c r="B7" t="s">
        <v>5</v>
      </c>
      <c r="C7" t="s">
        <v>17</v>
      </c>
      <c r="D7">
        <v>1</v>
      </c>
      <c r="E7" t="s">
        <v>10</v>
      </c>
      <c r="F7" t="s">
        <v>11</v>
      </c>
    </row>
    <row r="8" spans="1:6" x14ac:dyDescent="0.3">
      <c r="A8" t="s">
        <v>16</v>
      </c>
      <c r="B8" t="s">
        <v>5</v>
      </c>
      <c r="C8" t="s">
        <v>14</v>
      </c>
      <c r="D8">
        <v>2</v>
      </c>
      <c r="E8" t="s">
        <v>10</v>
      </c>
      <c r="F8" t="s">
        <v>11</v>
      </c>
    </row>
    <row r="9" spans="1:6" x14ac:dyDescent="0.3">
      <c r="A9" t="s">
        <v>18</v>
      </c>
      <c r="B9" t="s">
        <v>5</v>
      </c>
      <c r="C9" t="s">
        <v>19</v>
      </c>
      <c r="D9">
        <v>1</v>
      </c>
      <c r="E9" t="s">
        <v>7</v>
      </c>
      <c r="F9" t="s">
        <v>20</v>
      </c>
    </row>
    <row r="10" spans="1:6" x14ac:dyDescent="0.3">
      <c r="A10" t="s">
        <v>21</v>
      </c>
      <c r="B10" t="s">
        <v>5</v>
      </c>
      <c r="C10" t="s">
        <v>22</v>
      </c>
      <c r="D10">
        <v>1</v>
      </c>
      <c r="E10" t="s">
        <v>7</v>
      </c>
      <c r="F10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D2A-9D80-44DF-B7FE-5377AE668935}">
  <dimension ref="A1:L32"/>
  <sheetViews>
    <sheetView workbookViewId="0">
      <selection activeCell="D31" sqref="D31"/>
    </sheetView>
  </sheetViews>
  <sheetFormatPr defaultRowHeight="14.4" x14ac:dyDescent="0.3"/>
  <cols>
    <col min="1" max="1" width="33.21875" bestFit="1" customWidth="1"/>
    <col min="2" max="2" width="22.6640625" customWidth="1"/>
    <col min="3" max="3" width="18.6640625" customWidth="1"/>
    <col min="4" max="4" width="16.109375" customWidth="1"/>
    <col min="5" max="5" width="19.77734375" customWidth="1"/>
    <col min="6" max="6" width="8.88671875" customWidth="1"/>
  </cols>
  <sheetData>
    <row r="1" spans="1:12" ht="14.4" customHeight="1" x14ac:dyDescent="0.3">
      <c r="A1" s="38" t="s">
        <v>92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4.4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x14ac:dyDescent="0.3">
      <c r="B3" s="13" t="s">
        <v>93</v>
      </c>
      <c r="C3" s="13" t="s">
        <v>94</v>
      </c>
      <c r="D3" s="13" t="s">
        <v>26</v>
      </c>
      <c r="E3" s="13" t="s">
        <v>27</v>
      </c>
      <c r="F3" s="13" t="s">
        <v>95</v>
      </c>
      <c r="G3" s="10"/>
    </row>
    <row r="4" spans="1:12" ht="22.8" x14ac:dyDescent="0.3">
      <c r="B4" s="11">
        <v>20</v>
      </c>
      <c r="C4" s="11">
        <v>31</v>
      </c>
      <c r="D4" s="11">
        <v>21</v>
      </c>
      <c r="E4" s="11">
        <v>16</v>
      </c>
      <c r="F4" s="11">
        <v>81.58</v>
      </c>
      <c r="G4" s="12"/>
    </row>
    <row r="6" spans="1:12" x14ac:dyDescent="0.3">
      <c r="A6" s="33" t="s">
        <v>96</v>
      </c>
      <c r="B6" s="34"/>
    </row>
    <row r="7" spans="1:12" x14ac:dyDescent="0.3">
      <c r="A7" s="5" t="s">
        <v>68</v>
      </c>
      <c r="B7" t="s">
        <v>70</v>
      </c>
    </row>
    <row r="8" spans="1:12" x14ac:dyDescent="0.3">
      <c r="A8" s="4" t="s">
        <v>56</v>
      </c>
      <c r="B8">
        <v>2</v>
      </c>
    </row>
    <row r="9" spans="1:12" x14ac:dyDescent="0.3">
      <c r="A9" s="4" t="s">
        <v>5</v>
      </c>
      <c r="B9">
        <v>17</v>
      </c>
    </row>
    <row r="10" spans="1:12" x14ac:dyDescent="0.3">
      <c r="A10" s="4" t="s">
        <v>46</v>
      </c>
      <c r="B10">
        <v>1</v>
      </c>
    </row>
    <row r="11" spans="1:12" x14ac:dyDescent="0.3">
      <c r="A11" s="4" t="s">
        <v>69</v>
      </c>
      <c r="B11">
        <v>20</v>
      </c>
    </row>
    <row r="12" spans="1:12" x14ac:dyDescent="0.3">
      <c r="C12" s="8"/>
    </row>
    <row r="13" spans="1:12" x14ac:dyDescent="0.3">
      <c r="A13" s="35" t="s">
        <v>97</v>
      </c>
      <c r="B13" s="36"/>
      <c r="C13" s="36"/>
      <c r="D13" s="37"/>
    </row>
    <row r="14" spans="1:12" x14ac:dyDescent="0.3">
      <c r="A14" s="5" t="s">
        <v>68</v>
      </c>
      <c r="B14" t="s">
        <v>24</v>
      </c>
      <c r="C14" t="s">
        <v>99</v>
      </c>
      <c r="D14" t="s">
        <v>98</v>
      </c>
    </row>
    <row r="15" spans="1:12" x14ac:dyDescent="0.3">
      <c r="A15" s="4" t="s">
        <v>36</v>
      </c>
      <c r="B15">
        <v>0</v>
      </c>
      <c r="C15">
        <v>0</v>
      </c>
      <c r="D15">
        <v>0</v>
      </c>
    </row>
    <row r="16" spans="1:12" x14ac:dyDescent="0.3">
      <c r="A16" s="4" t="s">
        <v>31</v>
      </c>
      <c r="B16">
        <v>7</v>
      </c>
      <c r="C16">
        <v>4</v>
      </c>
      <c r="D16">
        <v>4</v>
      </c>
    </row>
    <row r="17" spans="1:8" x14ac:dyDescent="0.3">
      <c r="A17" s="4" t="s">
        <v>34</v>
      </c>
      <c r="B17">
        <v>2</v>
      </c>
      <c r="C17">
        <v>1</v>
      </c>
      <c r="D17">
        <v>1</v>
      </c>
    </row>
    <row r="18" spans="1:8" x14ac:dyDescent="0.3">
      <c r="A18" s="4" t="s">
        <v>32</v>
      </c>
      <c r="B18">
        <v>7</v>
      </c>
      <c r="C18">
        <v>4</v>
      </c>
      <c r="D18">
        <v>1</v>
      </c>
    </row>
    <row r="19" spans="1:8" x14ac:dyDescent="0.3">
      <c r="A19" s="4" t="s">
        <v>35</v>
      </c>
      <c r="B19">
        <v>1</v>
      </c>
      <c r="C19">
        <v>0</v>
      </c>
      <c r="D19">
        <v>0</v>
      </c>
    </row>
    <row r="20" spans="1:8" x14ac:dyDescent="0.3">
      <c r="A20" s="4" t="s">
        <v>30</v>
      </c>
      <c r="B20">
        <v>10</v>
      </c>
      <c r="C20">
        <v>9</v>
      </c>
      <c r="D20">
        <v>8</v>
      </c>
    </row>
    <row r="21" spans="1:8" x14ac:dyDescent="0.3">
      <c r="A21" s="4" t="s">
        <v>33</v>
      </c>
      <c r="B21">
        <v>4</v>
      </c>
      <c r="C21">
        <v>3</v>
      </c>
      <c r="D21">
        <v>2</v>
      </c>
    </row>
    <row r="22" spans="1:8" x14ac:dyDescent="0.3">
      <c r="A22" s="4" t="s">
        <v>69</v>
      </c>
      <c r="B22">
        <v>31</v>
      </c>
      <c r="C22">
        <v>21</v>
      </c>
      <c r="D22">
        <v>16</v>
      </c>
      <c r="E22" s="9"/>
      <c r="F22" s="9"/>
      <c r="G22" s="9"/>
      <c r="H22" s="9"/>
    </row>
    <row r="25" spans="1:8" x14ac:dyDescent="0.3">
      <c r="A25" s="33" t="s">
        <v>100</v>
      </c>
      <c r="B25" s="34"/>
    </row>
    <row r="26" spans="1:8" x14ac:dyDescent="0.3">
      <c r="A26" s="5" t="s">
        <v>68</v>
      </c>
      <c r="B26" t="s">
        <v>71</v>
      </c>
    </row>
    <row r="27" spans="1:8" x14ac:dyDescent="0.3">
      <c r="A27" s="4" t="s">
        <v>31</v>
      </c>
      <c r="B27">
        <v>77.8</v>
      </c>
    </row>
    <row r="28" spans="1:8" x14ac:dyDescent="0.3">
      <c r="A28" s="4" t="s">
        <v>34</v>
      </c>
      <c r="B28">
        <v>98.95</v>
      </c>
    </row>
    <row r="29" spans="1:8" x14ac:dyDescent="0.3">
      <c r="A29" s="4" t="s">
        <v>32</v>
      </c>
      <c r="B29">
        <v>73.849999999999994</v>
      </c>
    </row>
    <row r="30" spans="1:8" x14ac:dyDescent="0.3">
      <c r="A30" s="4" t="s">
        <v>30</v>
      </c>
      <c r="B30" s="6">
        <v>85.857142857142861</v>
      </c>
    </row>
    <row r="31" spans="1:8" x14ac:dyDescent="0.3">
      <c r="A31" s="4" t="s">
        <v>33</v>
      </c>
      <c r="B31">
        <v>63</v>
      </c>
    </row>
    <row r="32" spans="1:8" x14ac:dyDescent="0.3">
      <c r="A32" s="4" t="s">
        <v>69</v>
      </c>
      <c r="B32" s="6">
        <v>81.583333333333329</v>
      </c>
    </row>
  </sheetData>
  <mergeCells count="4">
    <mergeCell ref="A25:B25"/>
    <mergeCell ref="A6:B6"/>
    <mergeCell ref="A13:D13"/>
    <mergeCell ref="A1:L2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2947-4033-4663-8961-08759E5F5F59}">
  <dimension ref="A1:L34"/>
  <sheetViews>
    <sheetView tabSelected="1" workbookViewId="0">
      <selection activeCell="Q8" sqref="Q8"/>
    </sheetView>
  </sheetViews>
  <sheetFormatPr defaultRowHeight="14.4" x14ac:dyDescent="0.3"/>
  <cols>
    <col min="1" max="1" width="7.77734375" bestFit="1" customWidth="1"/>
    <col min="2" max="2" width="10.33203125" bestFit="1" customWidth="1"/>
    <col min="3" max="3" width="31.5546875" bestFit="1" customWidth="1"/>
    <col min="4" max="4" width="11.5546875" bestFit="1" customWidth="1"/>
    <col min="5" max="5" width="9.109375" bestFit="1" customWidth="1"/>
    <col min="6" max="6" width="8.77734375" bestFit="1" customWidth="1"/>
    <col min="7" max="7" width="8.33203125" bestFit="1" customWidth="1"/>
    <col min="9" max="9" width="23.21875" customWidth="1"/>
    <col min="10" max="10" width="11.5546875" bestFit="1" customWidth="1"/>
    <col min="11" max="11" width="9.109375" bestFit="1" customWidth="1"/>
    <col min="12" max="12" width="52" customWidth="1"/>
  </cols>
  <sheetData>
    <row r="1" spans="1:12" ht="21" x14ac:dyDescent="0.3">
      <c r="A1" s="38" t="s">
        <v>113</v>
      </c>
      <c r="B1" s="38"/>
      <c r="C1" s="38"/>
      <c r="D1" s="38"/>
      <c r="E1" s="38"/>
      <c r="F1" s="38"/>
      <c r="G1" s="38"/>
      <c r="H1" s="38"/>
      <c r="I1" s="38"/>
      <c r="J1" s="38"/>
    </row>
    <row r="3" spans="1:12" x14ac:dyDescent="0.3">
      <c r="A3" s="7" t="s">
        <v>101</v>
      </c>
      <c r="B3" s="7" t="s">
        <v>102</v>
      </c>
      <c r="C3" s="7" t="s">
        <v>38</v>
      </c>
      <c r="D3" s="7" t="s">
        <v>26</v>
      </c>
      <c r="E3" s="7" t="s">
        <v>98</v>
      </c>
      <c r="F3" s="7" t="s">
        <v>8</v>
      </c>
      <c r="G3" s="7" t="s">
        <v>20</v>
      </c>
      <c r="I3" s="39" t="s">
        <v>103</v>
      </c>
      <c r="J3" s="39"/>
      <c r="K3" s="39"/>
      <c r="L3" s="39"/>
    </row>
    <row r="4" spans="1:12" x14ac:dyDescent="0.3">
      <c r="A4" s="15" t="s">
        <v>80</v>
      </c>
      <c r="B4" s="15" t="s">
        <v>104</v>
      </c>
      <c r="C4" s="16" t="s">
        <v>32</v>
      </c>
      <c r="D4" s="15">
        <v>145</v>
      </c>
      <c r="E4" s="15">
        <v>98</v>
      </c>
      <c r="F4" s="15">
        <v>22</v>
      </c>
      <c r="G4" s="15">
        <v>25</v>
      </c>
      <c r="I4" s="7" t="s">
        <v>101</v>
      </c>
      <c r="J4" s="7" t="s">
        <v>26</v>
      </c>
      <c r="K4" s="7" t="s">
        <v>98</v>
      </c>
      <c r="L4" s="7" t="s">
        <v>105</v>
      </c>
    </row>
    <row r="5" spans="1:12" x14ac:dyDescent="0.3">
      <c r="A5" s="18" t="s">
        <v>80</v>
      </c>
      <c r="B5" s="18" t="s">
        <v>104</v>
      </c>
      <c r="C5" s="19" t="s">
        <v>30</v>
      </c>
      <c r="D5" s="18">
        <v>210</v>
      </c>
      <c r="E5" s="18">
        <v>156</v>
      </c>
      <c r="F5" s="18">
        <v>31</v>
      </c>
      <c r="G5" s="18">
        <v>23</v>
      </c>
      <c r="I5" s="20" t="s">
        <v>80</v>
      </c>
      <c r="J5" s="21">
        <v>783</v>
      </c>
      <c r="K5" s="21">
        <v>570</v>
      </c>
      <c r="L5" s="22">
        <f>K5/J5</f>
        <v>0.72796934865900387</v>
      </c>
    </row>
    <row r="6" spans="1:12" x14ac:dyDescent="0.3">
      <c r="A6" s="15" t="s">
        <v>80</v>
      </c>
      <c r="B6" s="15" t="s">
        <v>104</v>
      </c>
      <c r="C6" s="16" t="s">
        <v>31</v>
      </c>
      <c r="D6" s="15">
        <v>178</v>
      </c>
      <c r="E6" s="15">
        <v>134</v>
      </c>
      <c r="F6" s="15">
        <v>19</v>
      </c>
      <c r="G6" s="15">
        <v>25</v>
      </c>
      <c r="I6" s="23" t="s">
        <v>88</v>
      </c>
      <c r="J6" s="24">
        <v>463</v>
      </c>
      <c r="K6" s="24">
        <v>343</v>
      </c>
      <c r="L6" s="25">
        <f>K6/J6</f>
        <v>0.74082073434125273</v>
      </c>
    </row>
    <row r="7" spans="1:12" x14ac:dyDescent="0.3">
      <c r="A7" s="18" t="s">
        <v>80</v>
      </c>
      <c r="B7" s="18" t="s">
        <v>104</v>
      </c>
      <c r="C7" s="19" t="s">
        <v>33</v>
      </c>
      <c r="D7" s="18">
        <v>92</v>
      </c>
      <c r="E7" s="18">
        <v>67</v>
      </c>
      <c r="F7" s="18">
        <v>12</v>
      </c>
      <c r="G7" s="18">
        <v>13</v>
      </c>
      <c r="I7" s="20" t="s">
        <v>89</v>
      </c>
      <c r="J7" s="21">
        <v>279</v>
      </c>
      <c r="K7" s="21">
        <v>198</v>
      </c>
      <c r="L7" s="22">
        <f>K7/J7</f>
        <v>0.70967741935483875</v>
      </c>
    </row>
    <row r="8" spans="1:12" x14ac:dyDescent="0.3">
      <c r="A8" s="15" t="s">
        <v>80</v>
      </c>
      <c r="B8" s="15" t="s">
        <v>104</v>
      </c>
      <c r="C8" s="16" t="s">
        <v>34</v>
      </c>
      <c r="D8" s="15">
        <v>64</v>
      </c>
      <c r="E8" s="15">
        <v>48</v>
      </c>
      <c r="F8" s="15">
        <v>9</v>
      </c>
      <c r="G8" s="15">
        <v>7</v>
      </c>
      <c r="I8" s="23" t="s">
        <v>90</v>
      </c>
      <c r="J8" s="24">
        <v>149</v>
      </c>
      <c r="K8" s="24">
        <v>100</v>
      </c>
      <c r="L8" s="25">
        <f>K8/J8</f>
        <v>0.67114093959731547</v>
      </c>
    </row>
    <row r="9" spans="1:12" x14ac:dyDescent="0.3">
      <c r="A9" s="18" t="s">
        <v>80</v>
      </c>
      <c r="B9" s="18" t="s">
        <v>104</v>
      </c>
      <c r="C9" s="19" t="s">
        <v>35</v>
      </c>
      <c r="D9" s="18">
        <v>53</v>
      </c>
      <c r="E9" s="18">
        <v>38</v>
      </c>
      <c r="F9" s="18">
        <v>8</v>
      </c>
      <c r="G9" s="18">
        <v>7</v>
      </c>
      <c r="I9" s="26" t="s">
        <v>106</v>
      </c>
      <c r="J9" s="27">
        <f>SUM(J5:J8)</f>
        <v>1674</v>
      </c>
      <c r="K9" s="27">
        <f>SUM(K5:K8)</f>
        <v>1211</v>
      </c>
      <c r="L9" s="28">
        <f>K9/J9</f>
        <v>0.72341696535244926</v>
      </c>
    </row>
    <row r="10" spans="1:12" x14ac:dyDescent="0.3">
      <c r="A10" s="15" t="s">
        <v>80</v>
      </c>
      <c r="B10" s="15" t="s">
        <v>104</v>
      </c>
      <c r="C10" s="16" t="s">
        <v>36</v>
      </c>
      <c r="D10" s="15">
        <v>41</v>
      </c>
      <c r="E10" s="15">
        <v>29</v>
      </c>
      <c r="F10" s="15">
        <v>6</v>
      </c>
      <c r="G10" s="15">
        <v>6</v>
      </c>
    </row>
    <row r="11" spans="1:12" x14ac:dyDescent="0.3">
      <c r="A11" s="18" t="s">
        <v>88</v>
      </c>
      <c r="B11" s="18" t="s">
        <v>107</v>
      </c>
      <c r="C11" s="19" t="s">
        <v>32</v>
      </c>
      <c r="D11" s="18">
        <v>87</v>
      </c>
      <c r="E11" s="18">
        <v>62</v>
      </c>
      <c r="F11" s="18">
        <v>14</v>
      </c>
      <c r="G11" s="18">
        <v>11</v>
      </c>
    </row>
    <row r="12" spans="1:12" x14ac:dyDescent="0.3">
      <c r="A12" s="15" t="s">
        <v>88</v>
      </c>
      <c r="B12" s="15" t="s">
        <v>107</v>
      </c>
      <c r="C12" s="16" t="s">
        <v>30</v>
      </c>
      <c r="D12" s="15">
        <v>124</v>
      </c>
      <c r="E12" s="15">
        <v>95</v>
      </c>
      <c r="F12" s="15">
        <v>18</v>
      </c>
      <c r="G12" s="15">
        <v>11</v>
      </c>
    </row>
    <row r="13" spans="1:12" x14ac:dyDescent="0.3">
      <c r="A13" s="18" t="s">
        <v>88</v>
      </c>
      <c r="B13" s="18" t="s">
        <v>107</v>
      </c>
      <c r="C13" s="19" t="s">
        <v>31</v>
      </c>
      <c r="D13" s="18">
        <v>103</v>
      </c>
      <c r="E13" s="18">
        <v>78</v>
      </c>
      <c r="F13" s="18">
        <v>13</v>
      </c>
      <c r="G13" s="18">
        <v>12</v>
      </c>
    </row>
    <row r="14" spans="1:12" x14ac:dyDescent="0.3">
      <c r="A14" s="15" t="s">
        <v>88</v>
      </c>
      <c r="B14" s="15" t="s">
        <v>107</v>
      </c>
      <c r="C14" s="16" t="s">
        <v>33</v>
      </c>
      <c r="D14" s="15">
        <v>56</v>
      </c>
      <c r="E14" s="15">
        <v>41</v>
      </c>
      <c r="F14" s="15">
        <v>9</v>
      </c>
      <c r="G14" s="15">
        <v>6</v>
      </c>
    </row>
    <row r="15" spans="1:12" x14ac:dyDescent="0.3">
      <c r="A15" s="18" t="s">
        <v>88</v>
      </c>
      <c r="B15" s="18" t="s">
        <v>107</v>
      </c>
      <c r="C15" s="19" t="s">
        <v>34</v>
      </c>
      <c r="D15" s="18">
        <v>38</v>
      </c>
      <c r="E15" s="18">
        <v>28</v>
      </c>
      <c r="F15" s="18">
        <v>6</v>
      </c>
      <c r="G15" s="18">
        <v>4</v>
      </c>
    </row>
    <row r="16" spans="1:12" x14ac:dyDescent="0.3">
      <c r="A16" s="15" t="s">
        <v>88</v>
      </c>
      <c r="B16" s="15" t="s">
        <v>107</v>
      </c>
      <c r="C16" s="16" t="s">
        <v>35</v>
      </c>
      <c r="D16" s="15">
        <v>31</v>
      </c>
      <c r="E16" s="15">
        <v>22</v>
      </c>
      <c r="F16" s="15">
        <v>5</v>
      </c>
      <c r="G16" s="15">
        <v>4</v>
      </c>
    </row>
    <row r="17" spans="1:12" x14ac:dyDescent="0.3">
      <c r="A17" s="18" t="s">
        <v>88</v>
      </c>
      <c r="B17" s="18" t="s">
        <v>107</v>
      </c>
      <c r="C17" s="19" t="s">
        <v>36</v>
      </c>
      <c r="D17" s="18">
        <v>24</v>
      </c>
      <c r="E17" s="18">
        <v>17</v>
      </c>
      <c r="F17" s="18">
        <v>4</v>
      </c>
      <c r="G17" s="18">
        <v>3</v>
      </c>
    </row>
    <row r="18" spans="1:12" x14ac:dyDescent="0.3">
      <c r="A18" s="15" t="s">
        <v>89</v>
      </c>
      <c r="B18" s="15" t="s">
        <v>108</v>
      </c>
      <c r="C18" s="16" t="s">
        <v>32</v>
      </c>
      <c r="D18" s="15">
        <v>52</v>
      </c>
      <c r="E18" s="15">
        <v>35</v>
      </c>
      <c r="F18" s="15">
        <v>9</v>
      </c>
      <c r="G18" s="15">
        <v>8</v>
      </c>
    </row>
    <row r="19" spans="1:12" x14ac:dyDescent="0.3">
      <c r="A19" s="18" t="s">
        <v>89</v>
      </c>
      <c r="B19" s="18" t="s">
        <v>108</v>
      </c>
      <c r="C19" s="19" t="s">
        <v>30</v>
      </c>
      <c r="D19" s="18">
        <v>78</v>
      </c>
      <c r="E19" s="18">
        <v>58</v>
      </c>
      <c r="F19" s="18">
        <v>12</v>
      </c>
      <c r="G19" s="18">
        <v>8</v>
      </c>
    </row>
    <row r="20" spans="1:12" x14ac:dyDescent="0.3">
      <c r="A20" s="15" t="s">
        <v>89</v>
      </c>
      <c r="B20" s="15" t="s">
        <v>108</v>
      </c>
      <c r="C20" s="16" t="s">
        <v>31</v>
      </c>
      <c r="D20" s="15">
        <v>61</v>
      </c>
      <c r="E20" s="15">
        <v>44</v>
      </c>
      <c r="F20" s="15">
        <v>10</v>
      </c>
      <c r="G20" s="15">
        <v>7</v>
      </c>
    </row>
    <row r="21" spans="1:12" x14ac:dyDescent="0.3">
      <c r="A21" s="18" t="s">
        <v>89</v>
      </c>
      <c r="B21" s="18" t="s">
        <v>108</v>
      </c>
      <c r="C21" s="19" t="s">
        <v>33</v>
      </c>
      <c r="D21" s="18">
        <v>34</v>
      </c>
      <c r="E21" s="18">
        <v>24</v>
      </c>
      <c r="F21" s="18">
        <v>6</v>
      </c>
      <c r="G21" s="18">
        <v>4</v>
      </c>
    </row>
    <row r="22" spans="1:12" x14ac:dyDescent="0.3">
      <c r="A22" s="15" t="s">
        <v>89</v>
      </c>
      <c r="B22" s="15" t="s">
        <v>108</v>
      </c>
      <c r="C22" s="16" t="s">
        <v>34</v>
      </c>
      <c r="D22" s="15">
        <v>22</v>
      </c>
      <c r="E22" s="15">
        <v>16</v>
      </c>
      <c r="F22" s="15">
        <v>3</v>
      </c>
      <c r="G22" s="15">
        <v>3</v>
      </c>
    </row>
    <row r="23" spans="1:12" x14ac:dyDescent="0.3">
      <c r="A23" s="18" t="s">
        <v>89</v>
      </c>
      <c r="B23" s="18" t="s">
        <v>108</v>
      </c>
      <c r="C23" s="19" t="s">
        <v>35</v>
      </c>
      <c r="D23" s="18">
        <v>18</v>
      </c>
      <c r="E23" s="18">
        <v>12</v>
      </c>
      <c r="F23" s="18">
        <v>3</v>
      </c>
      <c r="G23" s="18">
        <v>3</v>
      </c>
    </row>
    <row r="24" spans="1:12" x14ac:dyDescent="0.3">
      <c r="A24" s="15" t="s">
        <v>89</v>
      </c>
      <c r="B24" s="15" t="s">
        <v>108</v>
      </c>
      <c r="C24" s="16" t="s">
        <v>36</v>
      </c>
      <c r="D24" s="15">
        <v>14</v>
      </c>
      <c r="E24" s="15">
        <v>9</v>
      </c>
      <c r="F24" s="15">
        <v>3</v>
      </c>
      <c r="G24" s="15">
        <v>2</v>
      </c>
    </row>
    <row r="25" spans="1:12" x14ac:dyDescent="0.3">
      <c r="A25" s="18" t="s">
        <v>90</v>
      </c>
      <c r="B25" s="18" t="s">
        <v>109</v>
      </c>
      <c r="C25" s="19" t="s">
        <v>32</v>
      </c>
      <c r="D25" s="18">
        <v>28</v>
      </c>
      <c r="E25" s="18">
        <v>18</v>
      </c>
      <c r="F25" s="18">
        <v>5</v>
      </c>
      <c r="G25" s="18">
        <v>5</v>
      </c>
    </row>
    <row r="26" spans="1:12" x14ac:dyDescent="0.3">
      <c r="A26" s="15" t="s">
        <v>90</v>
      </c>
      <c r="B26" s="15" t="s">
        <v>109</v>
      </c>
      <c r="C26" s="16" t="s">
        <v>30</v>
      </c>
      <c r="D26" s="15">
        <v>41</v>
      </c>
      <c r="E26" s="15">
        <v>29</v>
      </c>
      <c r="F26" s="15">
        <v>7</v>
      </c>
      <c r="G26" s="15">
        <v>5</v>
      </c>
    </row>
    <row r="27" spans="1:12" x14ac:dyDescent="0.3">
      <c r="A27" s="18" t="s">
        <v>90</v>
      </c>
      <c r="B27" s="18" t="s">
        <v>109</v>
      </c>
      <c r="C27" s="19" t="s">
        <v>31</v>
      </c>
      <c r="D27" s="18">
        <v>33</v>
      </c>
      <c r="E27" s="18">
        <v>22</v>
      </c>
      <c r="F27" s="18">
        <v>6</v>
      </c>
      <c r="G27" s="18">
        <v>5</v>
      </c>
    </row>
    <row r="28" spans="1:12" x14ac:dyDescent="0.3">
      <c r="A28" s="15" t="s">
        <v>90</v>
      </c>
      <c r="B28" s="15" t="s">
        <v>109</v>
      </c>
      <c r="C28" s="16" t="s">
        <v>33</v>
      </c>
      <c r="D28" s="15">
        <v>19</v>
      </c>
      <c r="E28" s="15">
        <v>13</v>
      </c>
      <c r="F28" s="15">
        <v>3</v>
      </c>
      <c r="G28" s="15">
        <v>3</v>
      </c>
    </row>
    <row r="29" spans="1:12" x14ac:dyDescent="0.3">
      <c r="A29" s="18" t="s">
        <v>90</v>
      </c>
      <c r="B29" s="18" t="s">
        <v>109</v>
      </c>
      <c r="C29" s="19" t="s">
        <v>34</v>
      </c>
      <c r="D29" s="18">
        <v>12</v>
      </c>
      <c r="E29" s="18">
        <v>8</v>
      </c>
      <c r="F29" s="18">
        <v>2</v>
      </c>
      <c r="G29" s="18">
        <v>2</v>
      </c>
    </row>
    <row r="30" spans="1:12" x14ac:dyDescent="0.3">
      <c r="A30" s="15" t="s">
        <v>90</v>
      </c>
      <c r="B30" s="15" t="s">
        <v>109</v>
      </c>
      <c r="C30" s="16" t="s">
        <v>35</v>
      </c>
      <c r="D30" s="15">
        <v>9</v>
      </c>
      <c r="E30" s="15">
        <v>6</v>
      </c>
      <c r="F30" s="15">
        <v>2</v>
      </c>
      <c r="G30" s="15">
        <v>1</v>
      </c>
    </row>
    <row r="31" spans="1:12" x14ac:dyDescent="0.3">
      <c r="A31" s="18" t="s">
        <v>90</v>
      </c>
      <c r="B31" s="18" t="s">
        <v>109</v>
      </c>
      <c r="C31" s="19" t="s">
        <v>36</v>
      </c>
      <c r="D31" s="18">
        <v>7</v>
      </c>
      <c r="E31" s="18">
        <v>4</v>
      </c>
      <c r="F31" s="18">
        <v>2</v>
      </c>
      <c r="G31" s="18">
        <v>1</v>
      </c>
    </row>
    <row r="32" spans="1:12" x14ac:dyDescent="0.3">
      <c r="I32" s="40" t="s">
        <v>110</v>
      </c>
      <c r="J32" s="40"/>
      <c r="K32" s="40"/>
      <c r="L32" s="40"/>
    </row>
    <row r="33" spans="9:12" x14ac:dyDescent="0.3">
      <c r="I33" s="41" t="s">
        <v>111</v>
      </c>
      <c r="J33" s="41"/>
      <c r="K33" s="41"/>
      <c r="L33" s="41"/>
    </row>
    <row r="34" spans="9:12" x14ac:dyDescent="0.3">
      <c r="I34" s="29" t="s">
        <v>112</v>
      </c>
      <c r="J34" s="29"/>
      <c r="K34" s="29"/>
      <c r="L34" s="29"/>
    </row>
  </sheetData>
  <mergeCells count="4">
    <mergeCell ref="A1:J1"/>
    <mergeCell ref="I3:L3"/>
    <mergeCell ref="I32:L32"/>
    <mergeCell ref="I33:L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13FA-C1B4-47D0-B3E0-0A885E191003}">
  <dimension ref="A1:K47"/>
  <sheetViews>
    <sheetView topLeftCell="A12" zoomScale="91" zoomScaleNormal="91" workbookViewId="0">
      <selection activeCell="F50" sqref="F50"/>
    </sheetView>
  </sheetViews>
  <sheetFormatPr defaultColWidth="8.6640625" defaultRowHeight="14.4" x14ac:dyDescent="0.3"/>
  <cols>
    <col min="1" max="1" width="22" customWidth="1"/>
    <col min="2" max="2" width="66.5546875" customWidth="1"/>
    <col min="3" max="3" width="42.44140625" customWidth="1"/>
    <col min="4" max="4" width="31.21875" customWidth="1"/>
    <col min="5" max="6" width="14" customWidth="1"/>
    <col min="7" max="7" width="39.6640625" customWidth="1"/>
    <col min="8" max="8" width="29.88671875" customWidth="1"/>
    <col min="9" max="9" width="35.21875" customWidth="1"/>
    <col min="10" max="10" width="18" customWidth="1"/>
    <col min="11" max="11" width="28" customWidth="1"/>
  </cols>
  <sheetData>
    <row r="1" spans="1:11" ht="17.399999999999999" x14ac:dyDescent="0.3">
      <c r="A1" s="42" t="s">
        <v>114</v>
      </c>
      <c r="B1" s="42"/>
      <c r="C1" s="42"/>
      <c r="D1" s="42"/>
      <c r="E1" s="42"/>
      <c r="F1" s="42"/>
      <c r="G1" s="42"/>
      <c r="H1" s="42"/>
    </row>
    <row r="3" spans="1:11" ht="15" customHeight="1" x14ac:dyDescent="0.3">
      <c r="A3" s="43" t="s">
        <v>115</v>
      </c>
      <c r="B3" s="43"/>
      <c r="C3" s="43"/>
      <c r="D3" s="43"/>
      <c r="E3" s="43"/>
      <c r="G3" s="43" t="s">
        <v>116</v>
      </c>
      <c r="H3" s="43"/>
      <c r="I3" s="43"/>
      <c r="J3" s="43"/>
      <c r="K3" s="43"/>
    </row>
    <row r="4" spans="1:11" ht="15" customHeight="1" x14ac:dyDescent="0.3">
      <c r="A4" s="17" t="s">
        <v>117</v>
      </c>
      <c r="B4" s="17" t="s">
        <v>118</v>
      </c>
      <c r="C4" s="17" t="s">
        <v>119</v>
      </c>
      <c r="D4" s="17" t="s">
        <v>120</v>
      </c>
      <c r="E4" s="17" t="s">
        <v>121</v>
      </c>
      <c r="G4" s="17" t="s">
        <v>122</v>
      </c>
      <c r="H4" s="17" t="s">
        <v>123</v>
      </c>
      <c r="I4" s="17" t="s">
        <v>23</v>
      </c>
      <c r="J4" s="17" t="s">
        <v>124</v>
      </c>
      <c r="K4" s="17" t="s">
        <v>125</v>
      </c>
    </row>
    <row r="5" spans="1:11" ht="15" customHeight="1" x14ac:dyDescent="0.3">
      <c r="A5" s="21">
        <v>1001</v>
      </c>
      <c r="B5" s="20" t="s">
        <v>126</v>
      </c>
      <c r="C5" s="20" t="s">
        <v>127</v>
      </c>
      <c r="D5" s="21" t="s">
        <v>5</v>
      </c>
      <c r="E5" s="21">
        <v>92.5</v>
      </c>
      <c r="G5" s="21" t="s">
        <v>128</v>
      </c>
      <c r="H5" s="20" t="s">
        <v>19</v>
      </c>
      <c r="I5" s="20" t="s">
        <v>32</v>
      </c>
      <c r="J5" s="21">
        <v>70</v>
      </c>
      <c r="K5" s="21" t="s">
        <v>129</v>
      </c>
    </row>
    <row r="6" spans="1:11" ht="15" customHeight="1" x14ac:dyDescent="0.3">
      <c r="A6" s="24">
        <v>1002</v>
      </c>
      <c r="B6" s="23" t="s">
        <v>130</v>
      </c>
      <c r="C6" s="23" t="s">
        <v>131</v>
      </c>
      <c r="D6" s="24" t="s">
        <v>5</v>
      </c>
      <c r="E6" s="24">
        <v>85.3</v>
      </c>
      <c r="G6" s="24" t="s">
        <v>132</v>
      </c>
      <c r="H6" s="23" t="s">
        <v>133</v>
      </c>
      <c r="I6" s="23" t="s">
        <v>30</v>
      </c>
      <c r="J6" s="24">
        <v>89.5</v>
      </c>
      <c r="K6" s="24" t="s">
        <v>129</v>
      </c>
    </row>
    <row r="7" spans="1:11" ht="15" customHeight="1" x14ac:dyDescent="0.3">
      <c r="A7" s="21">
        <v>1003</v>
      </c>
      <c r="B7" s="20" t="s">
        <v>134</v>
      </c>
      <c r="C7" s="20" t="s">
        <v>135</v>
      </c>
      <c r="D7" s="21" t="s">
        <v>5</v>
      </c>
      <c r="E7" s="21">
        <v>99.2</v>
      </c>
      <c r="G7" s="21" t="s">
        <v>136</v>
      </c>
      <c r="H7" s="20" t="s">
        <v>15</v>
      </c>
      <c r="I7" s="20" t="s">
        <v>31</v>
      </c>
      <c r="J7" s="21">
        <v>72</v>
      </c>
      <c r="K7" s="21" t="s">
        <v>129</v>
      </c>
    </row>
    <row r="8" spans="1:11" ht="15" customHeight="1" x14ac:dyDescent="0.3">
      <c r="A8" s="24">
        <v>1004</v>
      </c>
      <c r="B8" s="23" t="s">
        <v>137</v>
      </c>
      <c r="C8" s="23" t="s">
        <v>138</v>
      </c>
      <c r="D8" s="24" t="s">
        <v>56</v>
      </c>
      <c r="E8" s="24">
        <v>91</v>
      </c>
      <c r="G8" s="24" t="s">
        <v>139</v>
      </c>
      <c r="H8" s="23" t="s">
        <v>140</v>
      </c>
      <c r="I8" s="23" t="s">
        <v>33</v>
      </c>
      <c r="J8" s="24">
        <v>60</v>
      </c>
      <c r="K8" s="24" t="s">
        <v>129</v>
      </c>
    </row>
    <row r="9" spans="1:11" ht="15" customHeight="1" x14ac:dyDescent="0.3">
      <c r="A9" s="21">
        <v>1005</v>
      </c>
      <c r="B9" s="20" t="s">
        <v>141</v>
      </c>
      <c r="C9" s="20" t="s">
        <v>142</v>
      </c>
      <c r="D9" s="21" t="s">
        <v>5</v>
      </c>
      <c r="E9" s="21">
        <v>78.5</v>
      </c>
      <c r="G9" s="21" t="s">
        <v>143</v>
      </c>
      <c r="H9" s="20" t="s">
        <v>22</v>
      </c>
      <c r="I9" s="20" t="s">
        <v>32</v>
      </c>
      <c r="J9" s="21">
        <v>75</v>
      </c>
      <c r="K9" s="21" t="s">
        <v>129</v>
      </c>
    </row>
    <row r="10" spans="1:11" ht="15" customHeight="1" x14ac:dyDescent="0.3">
      <c r="A10" s="24">
        <v>1006</v>
      </c>
      <c r="B10" s="23" t="s">
        <v>144</v>
      </c>
      <c r="C10" s="23" t="s">
        <v>145</v>
      </c>
      <c r="D10" s="24" t="s">
        <v>5</v>
      </c>
      <c r="E10" s="24">
        <v>63</v>
      </c>
      <c r="G10" s="24" t="s">
        <v>146</v>
      </c>
      <c r="H10" s="23" t="s">
        <v>63</v>
      </c>
      <c r="I10" s="23" t="s">
        <v>30</v>
      </c>
      <c r="J10" s="24">
        <v>71</v>
      </c>
      <c r="K10" s="24" t="s">
        <v>129</v>
      </c>
    </row>
    <row r="11" spans="1:11" ht="15" customHeight="1" x14ac:dyDescent="0.3">
      <c r="A11" s="21">
        <v>1007</v>
      </c>
      <c r="B11" s="20" t="s">
        <v>147</v>
      </c>
      <c r="C11" s="20" t="s">
        <v>148</v>
      </c>
      <c r="D11" s="21" t="s">
        <v>5</v>
      </c>
      <c r="E11" s="21">
        <v>76.8</v>
      </c>
      <c r="G11" s="21" t="s">
        <v>149</v>
      </c>
      <c r="H11" s="20" t="s">
        <v>49</v>
      </c>
      <c r="I11" s="20" t="s">
        <v>34</v>
      </c>
      <c r="J11" s="21">
        <v>99</v>
      </c>
      <c r="K11" s="21" t="s">
        <v>129</v>
      </c>
    </row>
    <row r="12" spans="1:11" ht="15" customHeight="1" x14ac:dyDescent="0.3">
      <c r="A12" s="24">
        <v>1008</v>
      </c>
      <c r="B12" s="23" t="s">
        <v>150</v>
      </c>
      <c r="C12" s="23" t="s">
        <v>151</v>
      </c>
      <c r="D12" s="24" t="s">
        <v>5</v>
      </c>
      <c r="E12" s="24">
        <v>80.099999999999994</v>
      </c>
      <c r="G12" s="24" t="s">
        <v>152</v>
      </c>
      <c r="H12" s="23" t="s">
        <v>153</v>
      </c>
      <c r="I12" s="23" t="s">
        <v>31</v>
      </c>
      <c r="J12" s="24">
        <v>74</v>
      </c>
      <c r="K12" s="24" t="s">
        <v>129</v>
      </c>
    </row>
    <row r="13" spans="1:11" ht="15" customHeight="1" x14ac:dyDescent="0.3">
      <c r="A13" s="21">
        <v>1009</v>
      </c>
      <c r="B13" s="20" t="s">
        <v>154</v>
      </c>
      <c r="C13" s="20" t="s">
        <v>155</v>
      </c>
      <c r="D13" s="21" t="s">
        <v>46</v>
      </c>
      <c r="E13" s="21">
        <v>88.4</v>
      </c>
      <c r="G13" s="21" t="s">
        <v>156</v>
      </c>
      <c r="H13" s="20" t="s">
        <v>17</v>
      </c>
      <c r="I13" s="20" t="s">
        <v>35</v>
      </c>
      <c r="J13" s="21"/>
      <c r="K13" s="21" t="s">
        <v>129</v>
      </c>
    </row>
    <row r="14" spans="1:11" ht="15" customHeight="1" x14ac:dyDescent="0.3">
      <c r="A14" s="24">
        <v>1010</v>
      </c>
      <c r="B14" s="23" t="s">
        <v>157</v>
      </c>
      <c r="C14" s="23" t="s">
        <v>158</v>
      </c>
      <c r="D14" s="24" t="s">
        <v>5</v>
      </c>
      <c r="E14" s="24">
        <v>71</v>
      </c>
      <c r="G14" s="24" t="s">
        <v>159</v>
      </c>
      <c r="H14" s="23" t="s">
        <v>6</v>
      </c>
      <c r="I14" s="23" t="s">
        <v>32</v>
      </c>
      <c r="J14" s="24">
        <v>82</v>
      </c>
      <c r="K14" s="24" t="s">
        <v>129</v>
      </c>
    </row>
    <row r="15" spans="1:11" ht="15" customHeight="1" x14ac:dyDescent="0.3">
      <c r="A15" s="21">
        <v>1011</v>
      </c>
      <c r="B15" s="20" t="s">
        <v>160</v>
      </c>
      <c r="C15" s="20" t="s">
        <v>161</v>
      </c>
      <c r="D15" s="21" t="s">
        <v>5</v>
      </c>
      <c r="E15" s="21">
        <v>74.5</v>
      </c>
      <c r="G15" s="21" t="s">
        <v>162</v>
      </c>
      <c r="H15" s="20" t="s">
        <v>44</v>
      </c>
      <c r="I15" s="20" t="s">
        <v>30</v>
      </c>
      <c r="J15" s="21">
        <v>84</v>
      </c>
      <c r="K15" s="21" t="s">
        <v>129</v>
      </c>
    </row>
    <row r="16" spans="1:11" ht="15" customHeight="1" x14ac:dyDescent="0.3">
      <c r="A16" s="24">
        <v>1012</v>
      </c>
      <c r="B16" s="23" t="s">
        <v>163</v>
      </c>
      <c r="C16" s="23" t="s">
        <v>164</v>
      </c>
      <c r="D16" s="24" t="s">
        <v>5</v>
      </c>
      <c r="E16" s="24">
        <v>73.2</v>
      </c>
      <c r="G16" s="24" t="s">
        <v>165</v>
      </c>
      <c r="H16" s="23" t="s">
        <v>47</v>
      </c>
      <c r="I16" s="23" t="s">
        <v>31</v>
      </c>
      <c r="J16" s="24">
        <v>75.5</v>
      </c>
      <c r="K16" s="24" t="s">
        <v>129</v>
      </c>
    </row>
    <row r="17" spans="1:11" ht="15" customHeight="1" x14ac:dyDescent="0.3">
      <c r="A17" s="21">
        <v>1013</v>
      </c>
      <c r="B17" s="20" t="s">
        <v>166</v>
      </c>
      <c r="C17" s="20" t="s">
        <v>167</v>
      </c>
      <c r="D17" s="21" t="s">
        <v>5</v>
      </c>
      <c r="E17" s="21">
        <v>86.9</v>
      </c>
      <c r="G17" s="21" t="s">
        <v>168</v>
      </c>
      <c r="H17" s="20" t="s">
        <v>169</v>
      </c>
      <c r="I17" s="20" t="s">
        <v>36</v>
      </c>
      <c r="J17" s="21">
        <v>65</v>
      </c>
      <c r="K17" s="21" t="s">
        <v>129</v>
      </c>
    </row>
    <row r="18" spans="1:11" ht="15" customHeight="1" x14ac:dyDescent="0.3">
      <c r="A18" s="24">
        <v>1014</v>
      </c>
      <c r="B18" s="23" t="s">
        <v>170</v>
      </c>
      <c r="C18" s="23" t="s">
        <v>171</v>
      </c>
      <c r="D18" s="24" t="s">
        <v>5</v>
      </c>
      <c r="E18" s="24"/>
    </row>
    <row r="19" spans="1:11" ht="15" customHeight="1" x14ac:dyDescent="0.3">
      <c r="A19" s="21">
        <v>1015</v>
      </c>
      <c r="B19" s="20" t="s">
        <v>172</v>
      </c>
      <c r="C19" s="20" t="s">
        <v>173</v>
      </c>
      <c r="D19" s="21" t="s">
        <v>5</v>
      </c>
      <c r="E19" s="21">
        <v>98.7</v>
      </c>
    </row>
    <row r="20" spans="1:11" ht="15" customHeight="1" x14ac:dyDescent="0.3">
      <c r="A20" s="24">
        <v>1016</v>
      </c>
      <c r="B20" s="23" t="s">
        <v>174</v>
      </c>
      <c r="C20" s="23" t="s">
        <v>175</v>
      </c>
      <c r="D20" s="24" t="s">
        <v>5</v>
      </c>
      <c r="E20" s="24">
        <v>67.5</v>
      </c>
    </row>
    <row r="21" spans="1:11" ht="15" customHeight="1" x14ac:dyDescent="0.3">
      <c r="A21" s="21">
        <v>1017</v>
      </c>
      <c r="B21" s="20" t="s">
        <v>176</v>
      </c>
      <c r="C21" s="20" t="s">
        <v>177</v>
      </c>
      <c r="D21" s="21" t="s">
        <v>5</v>
      </c>
      <c r="E21" s="21"/>
    </row>
    <row r="22" spans="1:11" ht="15" customHeight="1" x14ac:dyDescent="0.3">
      <c r="A22" s="24">
        <v>1018</v>
      </c>
      <c r="B22" s="23" t="s">
        <v>178</v>
      </c>
      <c r="C22" s="23" t="s">
        <v>179</v>
      </c>
      <c r="D22" s="24" t="s">
        <v>56</v>
      </c>
      <c r="E22" s="24">
        <v>82</v>
      </c>
    </row>
    <row r="23" spans="1:11" ht="15" customHeight="1" x14ac:dyDescent="0.3">
      <c r="A23" s="21">
        <v>1019</v>
      </c>
      <c r="B23" s="20" t="s">
        <v>180</v>
      </c>
      <c r="C23" s="20" t="s">
        <v>181</v>
      </c>
      <c r="D23" s="21" t="s">
        <v>5</v>
      </c>
      <c r="E23" s="21">
        <v>90.1</v>
      </c>
    </row>
    <row r="24" spans="1:11" ht="15" customHeight="1" x14ac:dyDescent="0.3">
      <c r="A24" s="24">
        <v>1020</v>
      </c>
      <c r="B24" s="23" t="s">
        <v>182</v>
      </c>
      <c r="C24" s="23" t="s">
        <v>183</v>
      </c>
      <c r="D24" s="24" t="s">
        <v>5</v>
      </c>
      <c r="E24" s="24">
        <v>69.8</v>
      </c>
    </row>
    <row r="27" spans="1:11" ht="15" customHeight="1" x14ac:dyDescent="0.3"/>
    <row r="28" spans="1:11" ht="15" customHeight="1" x14ac:dyDescent="0.3">
      <c r="A28" s="30"/>
    </row>
    <row r="29" spans="1:11" ht="15" customHeight="1" x14ac:dyDescent="0.3">
      <c r="A29" s="31" t="s">
        <v>211</v>
      </c>
    </row>
    <row r="30" spans="1:11" ht="15" customHeight="1" x14ac:dyDescent="0.3">
      <c r="A30" s="32" t="s">
        <v>212</v>
      </c>
    </row>
    <row r="33" spans="1:8" x14ac:dyDescent="0.3">
      <c r="A33" s="44" t="s">
        <v>184</v>
      </c>
      <c r="B33" s="44"/>
      <c r="C33" s="44"/>
      <c r="D33" s="44"/>
      <c r="E33" s="44"/>
      <c r="F33" s="44"/>
      <c r="G33" s="44"/>
      <c r="H33" s="44"/>
    </row>
    <row r="34" spans="1:8" x14ac:dyDescent="0.3">
      <c r="A34" s="14" t="s">
        <v>185</v>
      </c>
      <c r="B34" s="14" t="s">
        <v>186</v>
      </c>
      <c r="C34" s="14"/>
      <c r="D34" s="14" t="s">
        <v>73</v>
      </c>
      <c r="E34" s="14" t="s">
        <v>187</v>
      </c>
      <c r="F34" s="14"/>
      <c r="G34" s="14"/>
      <c r="H34" s="14"/>
    </row>
    <row r="35" spans="1:8" x14ac:dyDescent="0.3">
      <c r="A35" s="4" t="s">
        <v>188</v>
      </c>
      <c r="B35" s="31" t="s">
        <v>214</v>
      </c>
      <c r="C35" s="4"/>
      <c r="D35" s="4">
        <v>92.5</v>
      </c>
      <c r="E35" s="4" t="s">
        <v>189</v>
      </c>
      <c r="F35" s="4"/>
      <c r="G35" s="4"/>
    </row>
    <row r="36" spans="1:8" x14ac:dyDescent="0.3">
      <c r="A36" s="4" t="s">
        <v>190</v>
      </c>
      <c r="B36" s="31" t="s">
        <v>213</v>
      </c>
      <c r="C36" s="4"/>
      <c r="D36" s="4" t="s">
        <v>133</v>
      </c>
      <c r="E36" s="4" t="s">
        <v>191</v>
      </c>
      <c r="F36" s="4"/>
      <c r="G36" s="4"/>
    </row>
    <row r="37" spans="1:8" x14ac:dyDescent="0.3">
      <c r="A37" s="4" t="s">
        <v>192</v>
      </c>
      <c r="B37" s="31" t="s">
        <v>215</v>
      </c>
      <c r="C37" s="4"/>
      <c r="D37" s="4">
        <v>17</v>
      </c>
      <c r="E37" s="4" t="s">
        <v>193</v>
      </c>
      <c r="F37" s="4"/>
      <c r="G37" s="4"/>
    </row>
    <row r="38" spans="1:8" x14ac:dyDescent="0.3">
      <c r="A38" s="4" t="s">
        <v>194</v>
      </c>
      <c r="B38" s="31" t="s">
        <v>216</v>
      </c>
      <c r="C38" s="4"/>
      <c r="D38" s="4">
        <v>2</v>
      </c>
      <c r="E38" s="4" t="s">
        <v>195</v>
      </c>
      <c r="F38" s="4"/>
      <c r="G38" s="4"/>
    </row>
    <row r="39" spans="1:8" x14ac:dyDescent="0.3">
      <c r="A39" s="4" t="s">
        <v>196</v>
      </c>
      <c r="B39" s="31" t="s">
        <v>217</v>
      </c>
      <c r="C39" s="4"/>
      <c r="D39" s="4">
        <v>1207.0999999999999</v>
      </c>
      <c r="E39" s="4" t="s">
        <v>197</v>
      </c>
      <c r="F39" s="4"/>
      <c r="G39" s="4"/>
    </row>
    <row r="40" spans="1:8" x14ac:dyDescent="0.3">
      <c r="A40" s="4" t="s">
        <v>198</v>
      </c>
      <c r="B40" s="31" t="s">
        <v>218</v>
      </c>
      <c r="C40" s="4"/>
      <c r="D40" s="4">
        <v>80.473333333333329</v>
      </c>
      <c r="E40" s="4" t="s">
        <v>199</v>
      </c>
      <c r="F40" s="4"/>
      <c r="G40" s="4"/>
    </row>
    <row r="41" spans="1:8" x14ac:dyDescent="0.3">
      <c r="A41" s="4" t="s">
        <v>200</v>
      </c>
      <c r="B41" s="31" t="s">
        <v>219</v>
      </c>
      <c r="C41" s="4"/>
      <c r="D41" s="4" t="s">
        <v>226</v>
      </c>
      <c r="E41" s="4" t="s">
        <v>201</v>
      </c>
      <c r="F41" s="4"/>
      <c r="G41" s="4"/>
    </row>
    <row r="42" spans="1:8" x14ac:dyDescent="0.3">
      <c r="A42" s="4" t="s">
        <v>202</v>
      </c>
      <c r="B42" s="31" t="s">
        <v>220</v>
      </c>
      <c r="C42" s="4"/>
      <c r="D42" s="4" t="s">
        <v>227</v>
      </c>
      <c r="E42" s="4" t="s">
        <v>203</v>
      </c>
      <c r="F42" s="4"/>
      <c r="G42" s="4"/>
    </row>
    <row r="43" spans="1:8" x14ac:dyDescent="0.3">
      <c r="A43" s="4" t="s">
        <v>204</v>
      </c>
      <c r="B43" s="31" t="s">
        <v>221</v>
      </c>
      <c r="C43" s="4"/>
      <c r="D43" s="4" t="s">
        <v>228</v>
      </c>
      <c r="E43" s="4" t="s">
        <v>232</v>
      </c>
      <c r="F43" s="4"/>
      <c r="G43" s="4"/>
    </row>
    <row r="44" spans="1:8" x14ac:dyDescent="0.3">
      <c r="A44" s="4" t="s">
        <v>205</v>
      </c>
      <c r="B44" s="31" t="s">
        <v>222</v>
      </c>
      <c r="C44" s="4"/>
      <c r="D44" s="4" t="s">
        <v>229</v>
      </c>
      <c r="E44" s="4" t="s">
        <v>206</v>
      </c>
      <c r="F44" s="4"/>
      <c r="G44" s="4"/>
    </row>
    <row r="45" spans="1:8" x14ac:dyDescent="0.3">
      <c r="A45" s="4" t="s">
        <v>207</v>
      </c>
      <c r="B45" s="31" t="s">
        <v>223</v>
      </c>
      <c r="C45" s="4"/>
      <c r="D45" s="4" t="s">
        <v>230</v>
      </c>
      <c r="E45" s="4" t="s">
        <v>233</v>
      </c>
      <c r="F45" s="4"/>
      <c r="G45" s="4"/>
    </row>
    <row r="46" spans="1:8" x14ac:dyDescent="0.3">
      <c r="A46" s="4" t="s">
        <v>208</v>
      </c>
      <c r="B46" s="31" t="s">
        <v>224</v>
      </c>
      <c r="C46" s="4"/>
      <c r="D46" s="4">
        <v>20</v>
      </c>
      <c r="E46" s="4" t="s">
        <v>234</v>
      </c>
      <c r="F46" s="4"/>
      <c r="G46" s="4"/>
    </row>
    <row r="47" spans="1:8" x14ac:dyDescent="0.3">
      <c r="A47" s="4" t="s">
        <v>209</v>
      </c>
      <c r="B47" s="31" t="s">
        <v>225</v>
      </c>
      <c r="C47" s="4"/>
      <c r="D47" s="4" t="s">
        <v>231</v>
      </c>
      <c r="E47" s="4" t="s">
        <v>210</v>
      </c>
      <c r="F47" s="4"/>
      <c r="G47" s="4"/>
    </row>
  </sheetData>
  <mergeCells count="4">
    <mergeCell ref="A1:H1"/>
    <mergeCell ref="A3:E3"/>
    <mergeCell ref="G3:K3"/>
    <mergeCell ref="A33:H3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10C8-0CE4-4B3F-A1D1-4659C239F278}">
  <dimension ref="A1:S29"/>
  <sheetViews>
    <sheetView topLeftCell="A4" workbookViewId="0">
      <selection activeCell="Q15" sqref="Q15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33.21875" bestFit="1" customWidth="1"/>
    <col min="4" max="4" width="11.5546875" bestFit="1" customWidth="1"/>
    <col min="5" max="5" width="14.5546875" bestFit="1" customWidth="1"/>
    <col min="6" max="6" width="14.109375" bestFit="1" customWidth="1"/>
    <col min="7" max="7" width="13.77734375" bestFit="1" customWidth="1"/>
    <col min="11" max="11" width="18.77734375" bestFit="1" customWidth="1"/>
    <col min="12" max="12" width="16.33203125" bestFit="1" customWidth="1"/>
    <col min="13" max="13" width="16.88671875" bestFit="1" customWidth="1"/>
    <col min="14" max="14" width="21.109375" bestFit="1" customWidth="1"/>
    <col min="15" max="15" width="34.33203125" bestFit="1" customWidth="1"/>
    <col min="16" max="16" width="24.33203125" bestFit="1" customWidth="1"/>
    <col min="17" max="17" width="27.21875" bestFit="1" customWidth="1"/>
    <col min="18" max="18" width="32.21875" bestFit="1" customWidth="1"/>
    <col min="19" max="19" width="11" bestFit="1" customWidth="1"/>
  </cols>
  <sheetData>
    <row r="1" spans="1:19" x14ac:dyDescent="0.3">
      <c r="A1" t="s">
        <v>74</v>
      </c>
      <c r="B1" t="s">
        <v>75</v>
      </c>
      <c r="C1" t="s">
        <v>23</v>
      </c>
      <c r="D1" t="s">
        <v>76</v>
      </c>
      <c r="E1" t="s">
        <v>77</v>
      </c>
      <c r="F1" t="s">
        <v>78</v>
      </c>
      <c r="G1" t="s">
        <v>79</v>
      </c>
    </row>
    <row r="2" spans="1:19" x14ac:dyDescent="0.3">
      <c r="A2" t="s">
        <v>80</v>
      </c>
      <c r="B2" t="s">
        <v>81</v>
      </c>
      <c r="C2" t="s">
        <v>32</v>
      </c>
      <c r="D2">
        <v>145</v>
      </c>
      <c r="E2">
        <v>98</v>
      </c>
      <c r="F2">
        <v>22</v>
      </c>
      <c r="G2">
        <v>25</v>
      </c>
    </row>
    <row r="3" spans="1:19" x14ac:dyDescent="0.3">
      <c r="A3" t="s">
        <v>80</v>
      </c>
      <c r="B3" t="s">
        <v>82</v>
      </c>
      <c r="C3" t="s">
        <v>30</v>
      </c>
      <c r="D3">
        <v>210</v>
      </c>
      <c r="E3">
        <v>156</v>
      </c>
      <c r="F3">
        <v>31</v>
      </c>
      <c r="G3">
        <v>23</v>
      </c>
    </row>
    <row r="4" spans="1:19" x14ac:dyDescent="0.3">
      <c r="A4" t="s">
        <v>80</v>
      </c>
      <c r="B4" t="s">
        <v>83</v>
      </c>
      <c r="C4" t="s">
        <v>31</v>
      </c>
      <c r="D4">
        <v>178</v>
      </c>
      <c r="E4">
        <v>134</v>
      </c>
      <c r="F4">
        <v>19</v>
      </c>
      <c r="G4">
        <v>25</v>
      </c>
    </row>
    <row r="5" spans="1:19" x14ac:dyDescent="0.3">
      <c r="A5" t="s">
        <v>80</v>
      </c>
      <c r="B5" t="s">
        <v>84</v>
      </c>
      <c r="C5" t="s">
        <v>33</v>
      </c>
      <c r="D5">
        <v>92</v>
      </c>
      <c r="E5">
        <v>67</v>
      </c>
      <c r="F5">
        <v>12</v>
      </c>
      <c r="G5">
        <v>13</v>
      </c>
      <c r="K5" s="5" t="s">
        <v>91</v>
      </c>
      <c r="L5" s="5" t="s">
        <v>72</v>
      </c>
    </row>
    <row r="6" spans="1:19" x14ac:dyDescent="0.3">
      <c r="A6" t="s">
        <v>80</v>
      </c>
      <c r="B6" t="s">
        <v>85</v>
      </c>
      <c r="C6" t="s">
        <v>34</v>
      </c>
      <c r="D6">
        <v>64</v>
      </c>
      <c r="E6">
        <v>48</v>
      </c>
      <c r="F6">
        <v>9</v>
      </c>
      <c r="G6">
        <v>7</v>
      </c>
      <c r="K6" s="5" t="s">
        <v>68</v>
      </c>
      <c r="L6" t="s">
        <v>36</v>
      </c>
      <c r="M6" t="s">
        <v>31</v>
      </c>
      <c r="N6" t="s">
        <v>34</v>
      </c>
      <c r="O6" t="s">
        <v>32</v>
      </c>
      <c r="P6" t="s">
        <v>35</v>
      </c>
      <c r="Q6" t="s">
        <v>30</v>
      </c>
      <c r="R6" t="s">
        <v>33</v>
      </c>
      <c r="S6" t="s">
        <v>69</v>
      </c>
    </row>
    <row r="7" spans="1:19" x14ac:dyDescent="0.3">
      <c r="A7" t="s">
        <v>80</v>
      </c>
      <c r="B7" t="s">
        <v>86</v>
      </c>
      <c r="C7" t="s">
        <v>35</v>
      </c>
      <c r="D7">
        <v>53</v>
      </c>
      <c r="E7">
        <v>38</v>
      </c>
      <c r="F7">
        <v>8</v>
      </c>
      <c r="G7">
        <v>7</v>
      </c>
      <c r="K7" s="4" t="s">
        <v>80</v>
      </c>
      <c r="L7">
        <v>41</v>
      </c>
      <c r="M7">
        <v>178</v>
      </c>
      <c r="N7">
        <v>64</v>
      </c>
      <c r="O7">
        <v>145</v>
      </c>
      <c r="P7">
        <v>53</v>
      </c>
      <c r="Q7">
        <v>210</v>
      </c>
      <c r="R7">
        <v>92</v>
      </c>
      <c r="S7">
        <v>783</v>
      </c>
    </row>
    <row r="8" spans="1:19" x14ac:dyDescent="0.3">
      <c r="A8" t="s">
        <v>80</v>
      </c>
      <c r="B8" t="s">
        <v>87</v>
      </c>
      <c r="C8" t="s">
        <v>36</v>
      </c>
      <c r="D8">
        <v>41</v>
      </c>
      <c r="E8">
        <v>29</v>
      </c>
      <c r="F8">
        <v>6</v>
      </c>
      <c r="G8">
        <v>6</v>
      </c>
      <c r="K8" s="4" t="s">
        <v>88</v>
      </c>
      <c r="L8">
        <v>24</v>
      </c>
      <c r="M8">
        <v>103</v>
      </c>
      <c r="N8">
        <v>38</v>
      </c>
      <c r="O8">
        <v>87</v>
      </c>
      <c r="P8">
        <v>31</v>
      </c>
      <c r="Q8">
        <v>124</v>
      </c>
      <c r="R8">
        <v>56</v>
      </c>
      <c r="S8">
        <v>463</v>
      </c>
    </row>
    <row r="9" spans="1:19" x14ac:dyDescent="0.3">
      <c r="A9" t="s">
        <v>88</v>
      </c>
      <c r="B9" t="s">
        <v>81</v>
      </c>
      <c r="C9" t="s">
        <v>32</v>
      </c>
      <c r="D9">
        <v>87</v>
      </c>
      <c r="E9">
        <v>62</v>
      </c>
      <c r="F9">
        <v>14</v>
      </c>
      <c r="G9">
        <v>11</v>
      </c>
      <c r="K9" s="4" t="s">
        <v>89</v>
      </c>
      <c r="L9">
        <v>14</v>
      </c>
      <c r="M9">
        <v>61</v>
      </c>
      <c r="N9">
        <v>22</v>
      </c>
      <c r="O9">
        <v>52</v>
      </c>
      <c r="P9">
        <v>18</v>
      </c>
      <c r="Q9">
        <v>78</v>
      </c>
      <c r="R9">
        <v>34</v>
      </c>
      <c r="S9">
        <v>279</v>
      </c>
    </row>
    <row r="10" spans="1:19" x14ac:dyDescent="0.3">
      <c r="A10" t="s">
        <v>88</v>
      </c>
      <c r="B10" t="s">
        <v>82</v>
      </c>
      <c r="C10" t="s">
        <v>30</v>
      </c>
      <c r="D10">
        <v>124</v>
      </c>
      <c r="E10">
        <v>95</v>
      </c>
      <c r="F10">
        <v>18</v>
      </c>
      <c r="G10">
        <v>11</v>
      </c>
      <c r="K10" s="4" t="s">
        <v>90</v>
      </c>
      <c r="L10">
        <v>7</v>
      </c>
      <c r="M10">
        <v>33</v>
      </c>
      <c r="N10">
        <v>12</v>
      </c>
      <c r="O10">
        <v>28</v>
      </c>
      <c r="P10">
        <v>9</v>
      </c>
      <c r="Q10">
        <v>41</v>
      </c>
      <c r="R10">
        <v>19</v>
      </c>
      <c r="S10">
        <v>149</v>
      </c>
    </row>
    <row r="11" spans="1:19" x14ac:dyDescent="0.3">
      <c r="A11" t="s">
        <v>88</v>
      </c>
      <c r="B11" t="s">
        <v>83</v>
      </c>
      <c r="C11" t="s">
        <v>31</v>
      </c>
      <c r="D11">
        <v>103</v>
      </c>
      <c r="E11">
        <v>78</v>
      </c>
      <c r="F11">
        <v>13</v>
      </c>
      <c r="G11">
        <v>12</v>
      </c>
      <c r="K11" s="4" t="s">
        <v>69</v>
      </c>
      <c r="L11">
        <v>86</v>
      </c>
      <c r="M11">
        <v>375</v>
      </c>
      <c r="N11">
        <v>136</v>
      </c>
      <c r="O11">
        <v>312</v>
      </c>
      <c r="P11">
        <v>111</v>
      </c>
      <c r="Q11">
        <v>453</v>
      </c>
      <c r="R11">
        <v>201</v>
      </c>
      <c r="S11">
        <v>1674</v>
      </c>
    </row>
    <row r="12" spans="1:19" x14ac:dyDescent="0.3">
      <c r="A12" t="s">
        <v>88</v>
      </c>
      <c r="B12" t="s">
        <v>84</v>
      </c>
      <c r="C12" t="s">
        <v>33</v>
      </c>
      <c r="D12">
        <v>56</v>
      </c>
      <c r="E12">
        <v>41</v>
      </c>
      <c r="F12">
        <v>9</v>
      </c>
      <c r="G12">
        <v>6</v>
      </c>
    </row>
    <row r="13" spans="1:19" x14ac:dyDescent="0.3">
      <c r="A13" t="s">
        <v>88</v>
      </c>
      <c r="B13" t="s">
        <v>85</v>
      </c>
      <c r="C13" t="s">
        <v>34</v>
      </c>
      <c r="D13">
        <v>38</v>
      </c>
      <c r="E13">
        <v>28</v>
      </c>
      <c r="F13">
        <v>6</v>
      </c>
      <c r="G13">
        <v>4</v>
      </c>
    </row>
    <row r="14" spans="1:19" x14ac:dyDescent="0.3">
      <c r="A14" t="s">
        <v>88</v>
      </c>
      <c r="B14" t="s">
        <v>86</v>
      </c>
      <c r="C14" t="s">
        <v>35</v>
      </c>
      <c r="D14">
        <v>31</v>
      </c>
      <c r="E14">
        <v>22</v>
      </c>
      <c r="F14">
        <v>5</v>
      </c>
      <c r="G14">
        <v>4</v>
      </c>
    </row>
    <row r="15" spans="1:19" x14ac:dyDescent="0.3">
      <c r="A15" t="s">
        <v>88</v>
      </c>
      <c r="B15" t="s">
        <v>87</v>
      </c>
      <c r="C15" t="s">
        <v>36</v>
      </c>
      <c r="D15">
        <v>24</v>
      </c>
      <c r="E15">
        <v>17</v>
      </c>
      <c r="F15">
        <v>4</v>
      </c>
      <c r="G15">
        <v>3</v>
      </c>
    </row>
    <row r="16" spans="1:19" x14ac:dyDescent="0.3">
      <c r="A16" t="s">
        <v>89</v>
      </c>
      <c r="B16" t="s">
        <v>81</v>
      </c>
      <c r="C16" t="s">
        <v>32</v>
      </c>
      <c r="D16">
        <v>52</v>
      </c>
      <c r="E16">
        <v>35</v>
      </c>
      <c r="F16">
        <v>9</v>
      </c>
      <c r="G16">
        <v>8</v>
      </c>
    </row>
    <row r="17" spans="1:7" x14ac:dyDescent="0.3">
      <c r="A17" t="s">
        <v>89</v>
      </c>
      <c r="B17" t="s">
        <v>82</v>
      </c>
      <c r="C17" t="s">
        <v>30</v>
      </c>
      <c r="D17">
        <v>78</v>
      </c>
      <c r="E17">
        <v>58</v>
      </c>
      <c r="F17">
        <v>12</v>
      </c>
      <c r="G17">
        <v>8</v>
      </c>
    </row>
    <row r="18" spans="1:7" x14ac:dyDescent="0.3">
      <c r="A18" t="s">
        <v>89</v>
      </c>
      <c r="B18" t="s">
        <v>83</v>
      </c>
      <c r="C18" t="s">
        <v>31</v>
      </c>
      <c r="D18">
        <v>61</v>
      </c>
      <c r="E18">
        <v>44</v>
      </c>
      <c r="F18">
        <v>10</v>
      </c>
      <c r="G18">
        <v>7</v>
      </c>
    </row>
    <row r="19" spans="1:7" x14ac:dyDescent="0.3">
      <c r="A19" t="s">
        <v>89</v>
      </c>
      <c r="B19" t="s">
        <v>84</v>
      </c>
      <c r="C19" t="s">
        <v>33</v>
      </c>
      <c r="D19">
        <v>34</v>
      </c>
      <c r="E19">
        <v>24</v>
      </c>
      <c r="F19">
        <v>6</v>
      </c>
      <c r="G19">
        <v>4</v>
      </c>
    </row>
    <row r="20" spans="1:7" x14ac:dyDescent="0.3">
      <c r="A20" t="s">
        <v>89</v>
      </c>
      <c r="B20" t="s">
        <v>85</v>
      </c>
      <c r="C20" t="s">
        <v>34</v>
      </c>
      <c r="D20">
        <v>22</v>
      </c>
      <c r="E20">
        <v>16</v>
      </c>
      <c r="F20">
        <v>3</v>
      </c>
      <c r="G20">
        <v>3</v>
      </c>
    </row>
    <row r="21" spans="1:7" x14ac:dyDescent="0.3">
      <c r="A21" t="s">
        <v>89</v>
      </c>
      <c r="B21" t="s">
        <v>86</v>
      </c>
      <c r="C21" t="s">
        <v>35</v>
      </c>
      <c r="D21">
        <v>18</v>
      </c>
      <c r="E21">
        <v>12</v>
      </c>
      <c r="F21">
        <v>3</v>
      </c>
      <c r="G21">
        <v>3</v>
      </c>
    </row>
    <row r="22" spans="1:7" x14ac:dyDescent="0.3">
      <c r="A22" t="s">
        <v>89</v>
      </c>
      <c r="B22" t="s">
        <v>87</v>
      </c>
      <c r="C22" t="s">
        <v>36</v>
      </c>
      <c r="D22">
        <v>14</v>
      </c>
      <c r="E22">
        <v>9</v>
      </c>
      <c r="F22">
        <v>3</v>
      </c>
      <c r="G22">
        <v>2</v>
      </c>
    </row>
    <row r="23" spans="1:7" x14ac:dyDescent="0.3">
      <c r="A23" t="s">
        <v>90</v>
      </c>
      <c r="B23" t="s">
        <v>81</v>
      </c>
      <c r="C23" t="s">
        <v>32</v>
      </c>
      <c r="D23">
        <v>28</v>
      </c>
      <c r="E23">
        <v>18</v>
      </c>
      <c r="F23">
        <v>5</v>
      </c>
      <c r="G23">
        <v>5</v>
      </c>
    </row>
    <row r="24" spans="1:7" x14ac:dyDescent="0.3">
      <c r="A24" t="s">
        <v>90</v>
      </c>
      <c r="B24" t="s">
        <v>82</v>
      </c>
      <c r="C24" t="s">
        <v>30</v>
      </c>
      <c r="D24">
        <v>41</v>
      </c>
      <c r="E24">
        <v>29</v>
      </c>
      <c r="F24">
        <v>7</v>
      </c>
      <c r="G24">
        <v>5</v>
      </c>
    </row>
    <row r="25" spans="1:7" x14ac:dyDescent="0.3">
      <c r="A25" t="s">
        <v>90</v>
      </c>
      <c r="B25" t="s">
        <v>83</v>
      </c>
      <c r="C25" t="s">
        <v>31</v>
      </c>
      <c r="D25">
        <v>33</v>
      </c>
      <c r="E25">
        <v>22</v>
      </c>
      <c r="F25">
        <v>6</v>
      </c>
      <c r="G25">
        <v>5</v>
      </c>
    </row>
    <row r="26" spans="1:7" x14ac:dyDescent="0.3">
      <c r="A26" t="s">
        <v>90</v>
      </c>
      <c r="B26" t="s">
        <v>84</v>
      </c>
      <c r="C26" t="s">
        <v>33</v>
      </c>
      <c r="D26">
        <v>19</v>
      </c>
      <c r="E26">
        <v>13</v>
      </c>
      <c r="F26">
        <v>3</v>
      </c>
      <c r="G26">
        <v>3</v>
      </c>
    </row>
    <row r="27" spans="1:7" x14ac:dyDescent="0.3">
      <c r="A27" t="s">
        <v>90</v>
      </c>
      <c r="B27" t="s">
        <v>85</v>
      </c>
      <c r="C27" t="s">
        <v>34</v>
      </c>
      <c r="D27">
        <v>12</v>
      </c>
      <c r="E27">
        <v>8</v>
      </c>
      <c r="F27">
        <v>2</v>
      </c>
      <c r="G27">
        <v>2</v>
      </c>
    </row>
    <row r="28" spans="1:7" x14ac:dyDescent="0.3">
      <c r="A28" t="s">
        <v>90</v>
      </c>
      <c r="B28" t="s">
        <v>86</v>
      </c>
      <c r="C28" t="s">
        <v>35</v>
      </c>
      <c r="D28">
        <v>9</v>
      </c>
      <c r="E28">
        <v>6</v>
      </c>
      <c r="F28">
        <v>2</v>
      </c>
      <c r="G28">
        <v>1</v>
      </c>
    </row>
    <row r="29" spans="1:7" x14ac:dyDescent="0.3">
      <c r="A29" t="s">
        <v>90</v>
      </c>
      <c r="B29" t="s">
        <v>87</v>
      </c>
      <c r="C29" t="s">
        <v>36</v>
      </c>
      <c r="D29">
        <v>7</v>
      </c>
      <c r="E29">
        <v>4</v>
      </c>
      <c r="F29">
        <v>2</v>
      </c>
      <c r="G29">
        <v>1</v>
      </c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Query A</vt:lpstr>
      <vt:lpstr>Query B</vt:lpstr>
      <vt:lpstr>Query C</vt:lpstr>
      <vt:lpstr>Dashboard</vt:lpstr>
      <vt:lpstr>Offer Trends</vt:lpstr>
      <vt:lpstr>Formulas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divya</dc:creator>
  <cp:lastModifiedBy>Divya divya</cp:lastModifiedBy>
  <dcterms:created xsi:type="dcterms:W3CDTF">2026-06-03T09:54:51Z</dcterms:created>
  <dcterms:modified xsi:type="dcterms:W3CDTF">2026-06-05T01:54:22Z</dcterms:modified>
</cp:coreProperties>
</file>